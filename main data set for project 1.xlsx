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9192b347518239/"/>
    </mc:Choice>
  </mc:AlternateContent>
  <xr:revisionPtr revIDLastSave="0" documentId="8_{72874D70-8B42-45B0-9192-A36214A5FC95}" xr6:coauthVersionLast="47" xr6:coauthVersionMax="47" xr10:uidLastSave="{00000000-0000-0000-0000-000000000000}"/>
  <bookViews>
    <workbookView xWindow="-108" yWindow="-108" windowWidth="23256" windowHeight="12456" activeTab="2" xr2:uid="{C6C58603-C6B2-4F70-BDCB-BDD49FB95D69}"/>
  </bookViews>
  <sheets>
    <sheet name="upi_data_enhanced" sheetId="1" r:id="rId1"/>
    <sheet name="App_Share" sheetId="2" r:id="rId2"/>
    <sheet name="State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4" i="1"/>
  <c r="I3" i="1"/>
  <c r="I4" i="1"/>
  <c r="I5" i="1"/>
  <c r="I13" i="1"/>
  <c r="I14" i="1"/>
  <c r="I15" i="1"/>
  <c r="I16" i="1"/>
  <c r="I17" i="1"/>
  <c r="I25" i="1"/>
  <c r="I26" i="1"/>
  <c r="I27" i="1"/>
  <c r="I28" i="1"/>
  <c r="I29" i="1"/>
  <c r="I37" i="1"/>
  <c r="I38" i="1"/>
  <c r="I39" i="1"/>
  <c r="I40" i="1"/>
  <c r="I41" i="1"/>
  <c r="I49" i="1"/>
  <c r="I50" i="1"/>
  <c r="I51" i="1"/>
  <c r="I52" i="1"/>
  <c r="I53" i="1"/>
  <c r="I61" i="1"/>
  <c r="I62" i="1"/>
  <c r="I63" i="1"/>
  <c r="I64" i="1"/>
  <c r="I65" i="1"/>
  <c r="I73" i="1"/>
  <c r="I74" i="1"/>
  <c r="I75" i="1"/>
  <c r="I76" i="1"/>
  <c r="I77" i="1"/>
  <c r="I85" i="1"/>
  <c r="I86" i="1"/>
  <c r="I87" i="1"/>
  <c r="I88" i="1"/>
  <c r="I89" i="1"/>
  <c r="I97" i="1"/>
  <c r="I98" i="1"/>
  <c r="I99" i="1"/>
  <c r="I100" i="1"/>
  <c r="I101" i="1"/>
  <c r="I109" i="1"/>
  <c r="I110" i="1"/>
  <c r="I111" i="1"/>
  <c r="I112" i="1"/>
  <c r="I113" i="1"/>
  <c r="H3" i="1"/>
  <c r="H4" i="1"/>
  <c r="H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H14" i="1"/>
  <c r="H15" i="1"/>
  <c r="H16" i="1"/>
  <c r="H17" i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H26" i="1"/>
  <c r="H27" i="1"/>
  <c r="H28" i="1"/>
  <c r="H29" i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H38" i="1"/>
  <c r="H39" i="1"/>
  <c r="H40" i="1"/>
  <c r="H41" i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H50" i="1"/>
  <c r="H51" i="1"/>
  <c r="H52" i="1"/>
  <c r="H53" i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H62" i="1"/>
  <c r="H63" i="1"/>
  <c r="H64" i="1"/>
  <c r="H65" i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H74" i="1"/>
  <c r="H75" i="1"/>
  <c r="H76" i="1"/>
  <c r="H77" i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H86" i="1"/>
  <c r="H87" i="1"/>
  <c r="H88" i="1"/>
  <c r="H89" i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H98" i="1"/>
  <c r="H99" i="1"/>
  <c r="H100" i="1"/>
  <c r="H101" i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H110" i="1"/>
  <c r="H111" i="1"/>
  <c r="H112" i="1"/>
  <c r="H113" i="1"/>
  <c r="H114" i="1"/>
  <c r="I114" i="1" s="1"/>
  <c r="H2" i="1"/>
  <c r="I2" i="1" s="1"/>
</calcChain>
</file>

<file path=xl/sharedStrings.xml><?xml version="1.0" encoding="utf-8"?>
<sst xmlns="http://schemas.openxmlformats.org/spreadsheetml/2006/main" count="27" uniqueCount="27">
  <si>
    <t>Month</t>
  </si>
  <si>
    <t>No. of Banks live on UPI</t>
  </si>
  <si>
    <t>Volume (in Mn)</t>
  </si>
  <si>
    <t>Value (in Cr.)</t>
  </si>
  <si>
    <t>Avg_Txn_Value_INR</t>
  </si>
  <si>
    <t>MoM_Growth_Volume_%</t>
  </si>
  <si>
    <t>MoM_Growth_Value_%</t>
  </si>
  <si>
    <t>Date</t>
  </si>
  <si>
    <t>Financial_Year</t>
  </si>
  <si>
    <t>YoY_Vol_Growth_%</t>
  </si>
  <si>
    <t>App</t>
  </si>
  <si>
    <t>Volume_Share_%</t>
  </si>
  <si>
    <t>Value_Share_%</t>
  </si>
  <si>
    <t>Google Pay</t>
  </si>
  <si>
    <t>PhonePe</t>
  </si>
  <si>
    <t>Paytm</t>
  </si>
  <si>
    <t>Others</t>
  </si>
  <si>
    <t>State</t>
  </si>
  <si>
    <t>Txn_Share_%</t>
  </si>
  <si>
    <t>Tier</t>
  </si>
  <si>
    <t>Maharashtra</t>
  </si>
  <si>
    <t>Karnataka</t>
  </si>
  <si>
    <t>Uttar Pradesh</t>
  </si>
  <si>
    <t>Tamil Nadu</t>
  </si>
  <si>
    <t>Telangana</t>
  </si>
  <si>
    <t>Rajasthan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</si>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</sst>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6B15-49AF-4A2F-9A46-A3135F46240A}">
  <dimension ref="A1:J114"/>
  <sheetViews>
    <sheetView zoomScale="107" workbookViewId="0">
      <selection activeCell="G116" sqref="G116"/>
    </sheetView>
  </sheetViews>
  <sheetFormatPr defaultRowHeight="14.4" x14ac:dyDescent="0.3"/>
  <cols>
    <col min="1" max="1" width="16" customWidth="1"/>
    <col min="2" max="2" width="21.77734375" bestFit="1" customWidth="1"/>
    <col min="3" max="4" width="16.109375" customWidth="1"/>
    <col min="5" max="5" width="14.44140625" customWidth="1"/>
    <col min="6" max="6" width="23.6640625" bestFit="1" customWidth="1"/>
    <col min="7" max="7" width="21.77734375" bestFit="1" customWidth="1"/>
    <col min="8" max="8" width="16.88671875" customWidth="1"/>
    <col min="9" max="9" width="13.5546875" bestFit="1" customWidth="1"/>
    <col min="10" max="10" width="1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45870</v>
      </c>
      <c r="B2">
        <v>688</v>
      </c>
      <c r="C2">
        <v>20008.310000000001</v>
      </c>
      <c r="D2">
        <v>2485472.91</v>
      </c>
      <c r="E2">
        <v>1242.2203124601699</v>
      </c>
      <c r="F2">
        <v>2.7756389347620001</v>
      </c>
      <c r="G2">
        <v>-0.91788708517612705</v>
      </c>
      <c r="H2" s="2">
        <f>A2</f>
        <v>45870</v>
      </c>
      <c r="I2" t="str">
        <f>IF(MONTH(H2)&gt;=4,"FY"&amp;(YEAR(H2)+1),"FY"&amp;YEAR(H2))</f>
        <v>FY2026</v>
      </c>
    </row>
    <row r="3" spans="1:10" x14ac:dyDescent="0.3">
      <c r="A3" s="1">
        <v>45839</v>
      </c>
      <c r="B3">
        <v>684</v>
      </c>
      <c r="C3">
        <v>19467.95</v>
      </c>
      <c r="D3">
        <v>2508498.09</v>
      </c>
      <c r="E3">
        <v>1288.5270868273201</v>
      </c>
      <c r="F3">
        <v>5.83277747606554</v>
      </c>
      <c r="G3">
        <v>4.3498508686204902</v>
      </c>
      <c r="H3" s="2">
        <f t="shared" ref="H3:H66" si="0">A3</f>
        <v>45839</v>
      </c>
      <c r="I3" t="str">
        <f t="shared" ref="I3:I66" si="1">IF(MONTH(H3)&gt;=4,"FY"&amp;(YEAR(H3)+1),"FY"&amp;YEAR(H3))</f>
        <v>FY2026</v>
      </c>
    </row>
    <row r="4" spans="1:10" x14ac:dyDescent="0.3">
      <c r="A4" s="1">
        <v>45809</v>
      </c>
      <c r="B4">
        <v>675</v>
      </c>
      <c r="C4">
        <v>18395.009999999998</v>
      </c>
      <c r="D4">
        <v>2403930.69</v>
      </c>
      <c r="E4">
        <v>1306.8384795659199</v>
      </c>
      <c r="F4">
        <v>-1.51225059510233</v>
      </c>
      <c r="G4">
        <v>-4.3895498249031304</v>
      </c>
      <c r="H4" s="2">
        <f t="shared" si="0"/>
        <v>45809</v>
      </c>
      <c r="I4" t="str">
        <f t="shared" si="1"/>
        <v>FY2026</v>
      </c>
    </row>
    <row r="5" spans="1:10" x14ac:dyDescent="0.3">
      <c r="A5" s="1">
        <v>45778</v>
      </c>
      <c r="B5">
        <v>673</v>
      </c>
      <c r="C5">
        <v>18677.46</v>
      </c>
      <c r="D5">
        <v>2514297.0099999998</v>
      </c>
      <c r="E5">
        <v>1346.1664541109899</v>
      </c>
      <c r="F5">
        <v>4.3817224432221398</v>
      </c>
      <c r="G5">
        <v>4.9843354859246496</v>
      </c>
      <c r="H5" s="2">
        <f t="shared" si="0"/>
        <v>45778</v>
      </c>
      <c r="I5" t="str">
        <f t="shared" si="1"/>
        <v>FY2026</v>
      </c>
    </row>
    <row r="6" spans="1:10" x14ac:dyDescent="0.3">
      <c r="A6" s="1">
        <v>45748</v>
      </c>
      <c r="B6">
        <v>668</v>
      </c>
      <c r="C6">
        <v>17893.419999999998</v>
      </c>
      <c r="D6">
        <v>2394925.87</v>
      </c>
      <c r="E6">
        <v>1338.43942074796</v>
      </c>
      <c r="F6">
        <v>-2.2298160097172302</v>
      </c>
      <c r="G6">
        <v>-3.3220984213842502</v>
      </c>
      <c r="H6" s="2">
        <f t="shared" si="0"/>
        <v>45748</v>
      </c>
      <c r="I6" t="str">
        <f t="shared" si="1"/>
        <v>FY2026</v>
      </c>
    </row>
    <row r="7" spans="1:10" x14ac:dyDescent="0.3">
      <c r="A7" s="1">
        <v>45717</v>
      </c>
      <c r="B7">
        <v>661</v>
      </c>
      <c r="C7">
        <v>18301.509999999998</v>
      </c>
      <c r="D7">
        <v>2477221.61</v>
      </c>
      <c r="E7">
        <v>1353.5613236284801</v>
      </c>
      <c r="F7">
        <v>13.630287485743001</v>
      </c>
      <c r="G7">
        <v>12.781345789411001</v>
      </c>
      <c r="H7" s="2">
        <f t="shared" si="0"/>
        <v>45717</v>
      </c>
      <c r="I7" t="str">
        <f t="shared" si="1"/>
        <v>FY2025</v>
      </c>
    </row>
    <row r="8" spans="1:10" x14ac:dyDescent="0.3">
      <c r="A8" s="1">
        <v>45689</v>
      </c>
      <c r="B8">
        <v>653</v>
      </c>
      <c r="C8">
        <v>16106.19</v>
      </c>
      <c r="D8">
        <v>2196481.69</v>
      </c>
      <c r="E8">
        <v>1363.7500178502701</v>
      </c>
      <c r="F8">
        <v>-5.2354083313720796</v>
      </c>
      <c r="G8">
        <v>-6.45455852077842</v>
      </c>
      <c r="H8" s="2">
        <f t="shared" si="0"/>
        <v>45689</v>
      </c>
      <c r="I8" t="str">
        <f t="shared" si="1"/>
        <v>FY2025</v>
      </c>
    </row>
    <row r="9" spans="1:10" x14ac:dyDescent="0.3">
      <c r="A9" s="1">
        <v>45658</v>
      </c>
      <c r="B9">
        <v>647</v>
      </c>
      <c r="C9">
        <v>16996</v>
      </c>
      <c r="D9">
        <v>2348037.1200000001</v>
      </c>
      <c r="E9">
        <v>1381.5233702047501</v>
      </c>
      <c r="F9">
        <v>1.58989743580548</v>
      </c>
      <c r="G9">
        <v>1.0038805395746699</v>
      </c>
      <c r="H9" s="2">
        <f t="shared" si="0"/>
        <v>45658</v>
      </c>
      <c r="I9" t="str">
        <f t="shared" si="1"/>
        <v>FY2025</v>
      </c>
    </row>
    <row r="10" spans="1:10" x14ac:dyDescent="0.3">
      <c r="A10" s="1">
        <v>45627</v>
      </c>
      <c r="B10">
        <v>641</v>
      </c>
      <c r="C10">
        <v>16730.009999999998</v>
      </c>
      <c r="D10">
        <v>2324699.91</v>
      </c>
      <c r="E10">
        <v>1389.5388645912301</v>
      </c>
      <c r="F10">
        <v>8.0608990299715302</v>
      </c>
      <c r="G10">
        <v>7.8653257716707099</v>
      </c>
      <c r="H10" s="2">
        <f t="shared" si="0"/>
        <v>45627</v>
      </c>
      <c r="I10" t="str">
        <f t="shared" si="1"/>
        <v>FY2025</v>
      </c>
    </row>
    <row r="11" spans="1:10" x14ac:dyDescent="0.3">
      <c r="A11" s="1">
        <v>45597</v>
      </c>
      <c r="B11">
        <v>637</v>
      </c>
      <c r="C11">
        <v>15482.02</v>
      </c>
      <c r="D11">
        <v>2155187.4</v>
      </c>
      <c r="E11">
        <v>1392.0582714658599</v>
      </c>
      <c r="F11">
        <v>-6.6502984328581896</v>
      </c>
      <c r="G11">
        <v>-8.2829297167113296</v>
      </c>
      <c r="H11" s="2">
        <f t="shared" si="0"/>
        <v>45597</v>
      </c>
      <c r="I11" t="str">
        <f t="shared" si="1"/>
        <v>FY2025</v>
      </c>
    </row>
    <row r="12" spans="1:10" x14ac:dyDescent="0.3">
      <c r="A12" s="1">
        <v>45566</v>
      </c>
      <c r="B12">
        <v>632</v>
      </c>
      <c r="C12">
        <v>16584.97</v>
      </c>
      <c r="D12">
        <v>2349821.46</v>
      </c>
      <c r="E12">
        <v>1416.8379321759301</v>
      </c>
      <c r="F12">
        <v>10.259577509265799</v>
      </c>
      <c r="G12">
        <v>13.848230744738601</v>
      </c>
      <c r="H12" s="2">
        <f t="shared" si="0"/>
        <v>45566</v>
      </c>
      <c r="I12" t="str">
        <f t="shared" si="1"/>
        <v>FY2025</v>
      </c>
    </row>
    <row r="13" spans="1:10" x14ac:dyDescent="0.3">
      <c r="A13" s="1">
        <v>45536</v>
      </c>
      <c r="B13">
        <v>622</v>
      </c>
      <c r="C13">
        <v>15041.75</v>
      </c>
      <c r="D13">
        <v>2063994.71</v>
      </c>
      <c r="E13">
        <v>1372.17724666345</v>
      </c>
      <c r="F13">
        <v>0.52596228710055604</v>
      </c>
      <c r="G13">
        <v>0.158154207043637</v>
      </c>
      <c r="H13" s="2">
        <f t="shared" si="0"/>
        <v>45536</v>
      </c>
      <c r="I13" t="str">
        <f t="shared" si="1"/>
        <v>FY2025</v>
      </c>
    </row>
    <row r="14" spans="1:10" x14ac:dyDescent="0.3">
      <c r="A14" s="1">
        <v>45505</v>
      </c>
      <c r="B14">
        <v>608</v>
      </c>
      <c r="C14">
        <v>14963.05</v>
      </c>
      <c r="D14">
        <v>2060735.57</v>
      </c>
      <c r="E14">
        <v>1377.2162560440499</v>
      </c>
      <c r="F14">
        <v>3.6541732043462201</v>
      </c>
      <c r="G14">
        <v>-0.17230310893793199</v>
      </c>
      <c r="H14" s="2">
        <f t="shared" si="0"/>
        <v>45505</v>
      </c>
      <c r="I14" t="str">
        <f t="shared" si="1"/>
        <v>FY2025</v>
      </c>
      <c r="J14" s="3">
        <f>IFERROR((C2/C14)-1,"")</f>
        <v>0.33718125649516661</v>
      </c>
    </row>
    <row r="15" spans="1:10" x14ac:dyDescent="0.3">
      <c r="A15" s="1">
        <v>45474</v>
      </c>
      <c r="B15">
        <v>605</v>
      </c>
      <c r="C15">
        <v>14435.55</v>
      </c>
      <c r="D15">
        <v>2064292.41</v>
      </c>
      <c r="E15">
        <v>1430.0060683520801</v>
      </c>
      <c r="F15">
        <v>3.9640219688098202</v>
      </c>
      <c r="G15">
        <v>2.8504681325299499</v>
      </c>
      <c r="H15" s="2">
        <f t="shared" si="0"/>
        <v>45474</v>
      </c>
      <c r="I15" t="str">
        <f t="shared" si="1"/>
        <v>FY2025</v>
      </c>
      <c r="J15" s="3">
        <f t="shared" ref="J15:J78" si="2">IFERROR((C3/C15)-1,"")</f>
        <v>0.3486115873659128</v>
      </c>
    </row>
    <row r="16" spans="1:10" x14ac:dyDescent="0.3">
      <c r="A16" s="1">
        <v>45444</v>
      </c>
      <c r="B16">
        <v>602</v>
      </c>
      <c r="C16">
        <v>13885.14</v>
      </c>
      <c r="D16">
        <v>2007081.2</v>
      </c>
      <c r="E16">
        <v>1445.48863029108</v>
      </c>
      <c r="F16">
        <v>-1.07367995075464</v>
      </c>
      <c r="G16">
        <v>-1.8511987936254599</v>
      </c>
      <c r="H16" s="2">
        <f t="shared" si="0"/>
        <v>45444</v>
      </c>
      <c r="I16" t="str">
        <f t="shared" si="1"/>
        <v>FY2025</v>
      </c>
      <c r="J16" s="3">
        <f t="shared" si="2"/>
        <v>0.32479830955971623</v>
      </c>
    </row>
    <row r="17" spans="1:10" x14ac:dyDescent="0.3">
      <c r="A17" s="1">
        <v>45413</v>
      </c>
      <c r="B17">
        <v>598</v>
      </c>
      <c r="C17">
        <v>14035.84</v>
      </c>
      <c r="D17">
        <v>2044937.05</v>
      </c>
      <c r="E17">
        <v>1456.93955616478</v>
      </c>
      <c r="F17">
        <v>5.5009812845620001</v>
      </c>
      <c r="G17">
        <v>4.0964104559139498</v>
      </c>
      <c r="H17" s="2">
        <f t="shared" si="0"/>
        <v>45413</v>
      </c>
      <c r="I17" t="str">
        <f t="shared" si="1"/>
        <v>FY2025</v>
      </c>
      <c r="J17" s="3">
        <f t="shared" si="2"/>
        <v>0.33069769960330109</v>
      </c>
    </row>
    <row r="18" spans="1:10" x14ac:dyDescent="0.3">
      <c r="A18" s="1">
        <v>45383</v>
      </c>
      <c r="B18">
        <v>583</v>
      </c>
      <c r="C18">
        <v>13303.99</v>
      </c>
      <c r="D18">
        <v>1964464.52</v>
      </c>
      <c r="E18">
        <v>1476.59801307727</v>
      </c>
      <c r="F18">
        <v>-1.01197916666666</v>
      </c>
      <c r="G18">
        <v>-0.70203388299874203</v>
      </c>
      <c r="H18" s="2">
        <f t="shared" si="0"/>
        <v>45383</v>
      </c>
      <c r="I18" t="str">
        <f t="shared" si="1"/>
        <v>FY2025</v>
      </c>
      <c r="J18" s="3">
        <f t="shared" si="2"/>
        <v>0.34496643488156553</v>
      </c>
    </row>
    <row r="19" spans="1:10" x14ac:dyDescent="0.3">
      <c r="A19" s="1">
        <v>45352</v>
      </c>
      <c r="B19">
        <v>572</v>
      </c>
      <c r="C19">
        <v>13440</v>
      </c>
      <c r="D19">
        <v>1978353.23</v>
      </c>
      <c r="E19">
        <v>1471.98901041666</v>
      </c>
      <c r="F19">
        <v>11.049875771214101</v>
      </c>
      <c r="G19">
        <v>8.2327481447183199</v>
      </c>
      <c r="H19" s="2">
        <f t="shared" si="0"/>
        <v>45352</v>
      </c>
      <c r="I19" t="str">
        <f t="shared" si="1"/>
        <v>FY2024</v>
      </c>
      <c r="J19" s="3">
        <f t="shared" si="2"/>
        <v>0.36171949404761894</v>
      </c>
    </row>
    <row r="20" spans="1:10" x14ac:dyDescent="0.3">
      <c r="A20" s="1">
        <v>45323</v>
      </c>
      <c r="B20">
        <v>560</v>
      </c>
      <c r="C20">
        <v>12102.67</v>
      </c>
      <c r="D20">
        <v>1827869.35</v>
      </c>
      <c r="E20">
        <v>1510.3025613356299</v>
      </c>
      <c r="F20">
        <v>-0.82233742139241595</v>
      </c>
      <c r="G20">
        <v>-0.717763025224749</v>
      </c>
      <c r="H20" s="2">
        <f t="shared" si="0"/>
        <v>45323</v>
      </c>
      <c r="I20" t="str">
        <f t="shared" si="1"/>
        <v>FY2024</v>
      </c>
      <c r="J20" s="3">
        <f t="shared" si="2"/>
        <v>0.33079642756515715</v>
      </c>
    </row>
    <row r="21" spans="1:10" x14ac:dyDescent="0.3">
      <c r="A21" s="1">
        <v>45292</v>
      </c>
      <c r="B21">
        <v>550</v>
      </c>
      <c r="C21">
        <v>12203.02</v>
      </c>
      <c r="D21">
        <v>1841083.97</v>
      </c>
      <c r="E21">
        <v>1508.7117533200701</v>
      </c>
      <c r="F21">
        <v>1.5206863762174201</v>
      </c>
      <c r="G21">
        <v>0.99479172603702504</v>
      </c>
      <c r="H21" s="2">
        <f t="shared" si="0"/>
        <v>45292</v>
      </c>
      <c r="I21" t="str">
        <f t="shared" si="1"/>
        <v>FY2024</v>
      </c>
      <c r="J21" s="3">
        <f t="shared" si="2"/>
        <v>0.39276998644597816</v>
      </c>
    </row>
    <row r="22" spans="1:10" x14ac:dyDescent="0.3">
      <c r="A22" s="1">
        <v>45261</v>
      </c>
      <c r="B22">
        <v>522</v>
      </c>
      <c r="C22">
        <v>12020.23</v>
      </c>
      <c r="D22">
        <v>1822949.42</v>
      </c>
      <c r="E22">
        <v>1516.56783605638</v>
      </c>
      <c r="F22">
        <v>6.9863795238039996</v>
      </c>
      <c r="G22">
        <v>4.7828285160280197</v>
      </c>
      <c r="H22" s="2">
        <f t="shared" si="0"/>
        <v>45261</v>
      </c>
      <c r="I22" t="str">
        <f t="shared" si="1"/>
        <v>FY2024</v>
      </c>
      <c r="J22" s="3">
        <f t="shared" si="2"/>
        <v>0.39182112155923798</v>
      </c>
    </row>
    <row r="23" spans="1:10" x14ac:dyDescent="0.3">
      <c r="A23" s="1">
        <v>45231</v>
      </c>
      <c r="B23">
        <v>516</v>
      </c>
      <c r="C23">
        <v>11235.29</v>
      </c>
      <c r="D23">
        <v>1739740.61</v>
      </c>
      <c r="E23">
        <v>1548.4607962945299</v>
      </c>
      <c r="F23">
        <v>-1.52075724068897</v>
      </c>
      <c r="G23">
        <v>1.3971740497321401</v>
      </c>
      <c r="H23" s="2">
        <f t="shared" si="0"/>
        <v>45231</v>
      </c>
      <c r="I23" t="str">
        <f t="shared" si="1"/>
        <v>FY2024</v>
      </c>
      <c r="J23" s="3">
        <f t="shared" si="2"/>
        <v>0.37798134271567529</v>
      </c>
    </row>
    <row r="24" spans="1:10" x14ac:dyDescent="0.3">
      <c r="A24" s="1">
        <v>45200</v>
      </c>
      <c r="B24">
        <v>505</v>
      </c>
      <c r="C24">
        <v>11408.79</v>
      </c>
      <c r="D24">
        <v>1715768.34</v>
      </c>
      <c r="E24">
        <v>1503.90036103741</v>
      </c>
      <c r="F24">
        <v>8.0818970621532102</v>
      </c>
      <c r="G24">
        <v>8.6525418964346006</v>
      </c>
      <c r="H24" s="2">
        <f t="shared" si="0"/>
        <v>45200</v>
      </c>
      <c r="I24" t="str">
        <f t="shared" si="1"/>
        <v>FY2024</v>
      </c>
      <c r="J24" s="3">
        <f t="shared" si="2"/>
        <v>0.45370104980458059</v>
      </c>
    </row>
    <row r="25" spans="1:10" x14ac:dyDescent="0.3">
      <c r="A25" s="1">
        <v>45170</v>
      </c>
      <c r="B25">
        <v>492</v>
      </c>
      <c r="C25">
        <v>10555.69</v>
      </c>
      <c r="D25">
        <v>1579133.18</v>
      </c>
      <c r="E25">
        <v>1496.0018530290299</v>
      </c>
      <c r="F25">
        <v>-0.28650994424722598</v>
      </c>
      <c r="G25">
        <v>0.16470407765234399</v>
      </c>
      <c r="H25" s="2">
        <f t="shared" si="0"/>
        <v>45170</v>
      </c>
      <c r="I25" t="str">
        <f t="shared" si="1"/>
        <v>FY2024</v>
      </c>
      <c r="J25" s="3">
        <f t="shared" si="2"/>
        <v>0.42498974486746</v>
      </c>
    </row>
    <row r="26" spans="1:10" x14ac:dyDescent="0.3">
      <c r="A26" s="1">
        <v>45139</v>
      </c>
      <c r="B26">
        <v>484</v>
      </c>
      <c r="C26">
        <v>10586.02</v>
      </c>
      <c r="D26">
        <v>1576536.56</v>
      </c>
      <c r="E26">
        <v>1489.26278242436</v>
      </c>
      <c r="F26">
        <v>6.2361698049396797</v>
      </c>
      <c r="G26">
        <v>2.80398423398404</v>
      </c>
      <c r="H26" s="2">
        <f t="shared" si="0"/>
        <v>45139</v>
      </c>
      <c r="I26" t="str">
        <f t="shared" si="1"/>
        <v>FY2024</v>
      </c>
      <c r="J26" s="3">
        <f t="shared" si="2"/>
        <v>0.41347267433841983</v>
      </c>
    </row>
    <row r="27" spans="1:10" x14ac:dyDescent="0.3">
      <c r="A27" s="1">
        <v>45108</v>
      </c>
      <c r="B27">
        <v>473</v>
      </c>
      <c r="C27">
        <v>9964.61</v>
      </c>
      <c r="D27">
        <v>1533536.44</v>
      </c>
      <c r="E27">
        <v>1538.98290048481</v>
      </c>
      <c r="F27">
        <v>6.7439309442039104</v>
      </c>
      <c r="G27">
        <v>3.9358581278003899</v>
      </c>
      <c r="H27" s="2">
        <f t="shared" si="0"/>
        <v>45108</v>
      </c>
      <c r="I27" t="str">
        <f t="shared" si="1"/>
        <v>FY2024</v>
      </c>
      <c r="J27" s="3">
        <f t="shared" si="2"/>
        <v>0.44868188519169316</v>
      </c>
    </row>
    <row r="28" spans="1:10" x14ac:dyDescent="0.3">
      <c r="A28" s="1">
        <v>45078</v>
      </c>
      <c r="B28">
        <v>458</v>
      </c>
      <c r="C28">
        <v>9335.06</v>
      </c>
      <c r="D28">
        <v>1475464.26</v>
      </c>
      <c r="E28">
        <v>1580.5621602860599</v>
      </c>
      <c r="F28">
        <v>-0.851071513161194</v>
      </c>
      <c r="G28">
        <v>-0.91872691763404901</v>
      </c>
      <c r="H28" s="2">
        <f t="shared" si="0"/>
        <v>45078</v>
      </c>
      <c r="I28" t="str">
        <f t="shared" si="1"/>
        <v>FY2024</v>
      </c>
      <c r="J28" s="3">
        <f t="shared" si="2"/>
        <v>0.48741839902475181</v>
      </c>
    </row>
    <row r="29" spans="1:10" x14ac:dyDescent="0.3">
      <c r="A29" s="1">
        <v>45047</v>
      </c>
      <c r="B29">
        <v>445</v>
      </c>
      <c r="C29">
        <v>9415.19</v>
      </c>
      <c r="D29">
        <v>1489145.44</v>
      </c>
      <c r="E29">
        <v>1581.6414113788401</v>
      </c>
      <c r="F29">
        <v>6.2271669791927602</v>
      </c>
      <c r="G29">
        <v>5.2024362391559897</v>
      </c>
      <c r="H29" s="2">
        <f t="shared" si="0"/>
        <v>45047</v>
      </c>
      <c r="I29" t="str">
        <f t="shared" si="1"/>
        <v>FY2024</v>
      </c>
      <c r="J29" s="3">
        <f t="shared" si="2"/>
        <v>0.49076545454738563</v>
      </c>
    </row>
    <row r="30" spans="1:10" x14ac:dyDescent="0.3">
      <c r="A30" s="1">
        <v>45017</v>
      </c>
      <c r="B30">
        <v>414</v>
      </c>
      <c r="C30">
        <v>8863.26</v>
      </c>
      <c r="D30">
        <v>1415504.71</v>
      </c>
      <c r="E30">
        <v>1597.0474859137601</v>
      </c>
      <c r="F30">
        <v>2.0489793098683999</v>
      </c>
      <c r="G30">
        <v>0.35887306074138198</v>
      </c>
      <c r="H30" s="2">
        <f t="shared" si="0"/>
        <v>45017</v>
      </c>
      <c r="I30" t="str">
        <f t="shared" si="1"/>
        <v>FY2024</v>
      </c>
      <c r="J30" s="3">
        <f t="shared" si="2"/>
        <v>0.50102671026236401</v>
      </c>
    </row>
    <row r="31" spans="1:10" x14ac:dyDescent="0.3">
      <c r="A31" s="1">
        <v>44986</v>
      </c>
      <c r="B31">
        <v>399</v>
      </c>
      <c r="C31">
        <v>8685.2999999999993</v>
      </c>
      <c r="D31">
        <v>1410443.01</v>
      </c>
      <c r="E31">
        <v>1623.9427653621599</v>
      </c>
      <c r="F31">
        <v>15.2697630714183</v>
      </c>
      <c r="G31">
        <v>14.127674678594</v>
      </c>
      <c r="H31" s="2">
        <f t="shared" si="0"/>
        <v>44986</v>
      </c>
      <c r="I31" t="str">
        <f t="shared" si="1"/>
        <v>FY2023</v>
      </c>
      <c r="J31" s="3">
        <f t="shared" si="2"/>
        <v>0.5474422299747852</v>
      </c>
    </row>
    <row r="32" spans="1:10" x14ac:dyDescent="0.3">
      <c r="A32" s="1">
        <v>44958</v>
      </c>
      <c r="B32">
        <v>390</v>
      </c>
      <c r="C32">
        <v>7534.76</v>
      </c>
      <c r="D32">
        <v>1235846.6200000001</v>
      </c>
      <c r="E32">
        <v>1640.1937420700799</v>
      </c>
      <c r="F32">
        <v>-6.2478147641687203</v>
      </c>
      <c r="G32">
        <v>-4.8416656001091196</v>
      </c>
      <c r="H32" s="2">
        <f t="shared" si="0"/>
        <v>44958</v>
      </c>
      <c r="I32" t="str">
        <f t="shared" si="1"/>
        <v>FY2023</v>
      </c>
      <c r="J32" s="3">
        <f t="shared" si="2"/>
        <v>0.60624492352775672</v>
      </c>
    </row>
    <row r="33" spans="1:10" x14ac:dyDescent="0.3">
      <c r="A33" s="1">
        <v>44927</v>
      </c>
      <c r="B33">
        <v>385</v>
      </c>
      <c r="C33">
        <v>8036.89</v>
      </c>
      <c r="D33">
        <v>1298726.6200000001</v>
      </c>
      <c r="E33">
        <v>1615.9566946916</v>
      </c>
      <c r="F33">
        <v>2.6489592553282599</v>
      </c>
      <c r="G33">
        <v>1.3003817987498001</v>
      </c>
      <c r="H33" s="2">
        <f t="shared" si="0"/>
        <v>44927</v>
      </c>
      <c r="I33" t="str">
        <f t="shared" si="1"/>
        <v>FY2023</v>
      </c>
      <c r="J33" s="3">
        <f t="shared" si="2"/>
        <v>0.51837588918101396</v>
      </c>
    </row>
    <row r="34" spans="1:10" x14ac:dyDescent="0.3">
      <c r="A34" s="1">
        <v>44896</v>
      </c>
      <c r="B34">
        <v>382</v>
      </c>
      <c r="C34">
        <v>7829.49</v>
      </c>
      <c r="D34">
        <v>1282055.01</v>
      </c>
      <c r="E34">
        <v>1637.46937539993</v>
      </c>
      <c r="F34">
        <v>7.1146255874245004</v>
      </c>
      <c r="G34">
        <v>7.6820198035871998</v>
      </c>
      <c r="H34" s="2">
        <f t="shared" si="0"/>
        <v>44896</v>
      </c>
      <c r="I34" t="str">
        <f t="shared" si="1"/>
        <v>FY2023</v>
      </c>
      <c r="J34" s="3">
        <f t="shared" si="2"/>
        <v>0.53525069959856908</v>
      </c>
    </row>
    <row r="35" spans="1:10" x14ac:dyDescent="0.3">
      <c r="A35" s="1">
        <v>44866</v>
      </c>
      <c r="B35">
        <v>376</v>
      </c>
      <c r="C35">
        <v>7309.45</v>
      </c>
      <c r="D35">
        <v>1190593.3899999999</v>
      </c>
      <c r="E35">
        <v>1628.8412808077201</v>
      </c>
      <c r="F35">
        <v>5.5164521683903602E-2</v>
      </c>
      <c r="G35">
        <v>-1.73237231692954</v>
      </c>
      <c r="H35" s="2">
        <f t="shared" si="0"/>
        <v>44866</v>
      </c>
      <c r="I35" t="str">
        <f t="shared" si="1"/>
        <v>FY2023</v>
      </c>
      <c r="J35" s="3">
        <f t="shared" si="2"/>
        <v>0.53709102600058833</v>
      </c>
    </row>
    <row r="36" spans="1:10" x14ac:dyDescent="0.3">
      <c r="A36" s="1">
        <v>44835</v>
      </c>
      <c r="B36">
        <v>365</v>
      </c>
      <c r="C36">
        <v>7305.42</v>
      </c>
      <c r="D36">
        <v>1211582.51</v>
      </c>
      <c r="E36">
        <v>1658.4707107873301</v>
      </c>
      <c r="F36">
        <v>7.73684521000472</v>
      </c>
      <c r="G36">
        <v>8.5221392928098698</v>
      </c>
      <c r="H36" s="2">
        <f t="shared" si="0"/>
        <v>44835</v>
      </c>
      <c r="I36" t="str">
        <f t="shared" si="1"/>
        <v>FY2023</v>
      </c>
      <c r="J36" s="3">
        <f t="shared" si="2"/>
        <v>0.56168844501753501</v>
      </c>
    </row>
    <row r="37" spans="1:10" x14ac:dyDescent="0.3">
      <c r="A37" s="1">
        <v>44805</v>
      </c>
      <c r="B37">
        <v>358</v>
      </c>
      <c r="C37">
        <v>6780.8</v>
      </c>
      <c r="D37">
        <v>1116438.1000000001</v>
      </c>
      <c r="E37">
        <v>1646.46959060877</v>
      </c>
      <c r="F37">
        <v>3.0574667572492702</v>
      </c>
      <c r="G37">
        <v>4.0683927858270001</v>
      </c>
      <c r="H37" s="2">
        <f t="shared" si="0"/>
        <v>44805</v>
      </c>
      <c r="I37" t="str">
        <f t="shared" si="1"/>
        <v>FY2023</v>
      </c>
      <c r="J37" s="3">
        <f t="shared" si="2"/>
        <v>0.55670274893817839</v>
      </c>
    </row>
    <row r="38" spans="1:10" x14ac:dyDescent="0.3">
      <c r="A38" s="1">
        <v>44774</v>
      </c>
      <c r="B38">
        <v>346</v>
      </c>
      <c r="C38">
        <v>6579.63</v>
      </c>
      <c r="D38">
        <v>1072792.68</v>
      </c>
      <c r="E38">
        <v>1630.4756954418399</v>
      </c>
      <c r="F38">
        <v>4.6312257489981601</v>
      </c>
      <c r="G38">
        <v>0.92201279151966598</v>
      </c>
      <c r="H38" s="2">
        <f t="shared" si="0"/>
        <v>44774</v>
      </c>
      <c r="I38" t="str">
        <f t="shared" si="1"/>
        <v>FY2023</v>
      </c>
      <c r="J38" s="3">
        <f t="shared" si="2"/>
        <v>0.60890809969557558</v>
      </c>
    </row>
    <row r="39" spans="1:10" x14ac:dyDescent="0.3">
      <c r="A39" s="1">
        <v>44743</v>
      </c>
      <c r="B39">
        <v>338</v>
      </c>
      <c r="C39">
        <v>6288.4</v>
      </c>
      <c r="D39">
        <v>1062991.76</v>
      </c>
      <c r="E39">
        <v>1690.40099230328</v>
      </c>
      <c r="F39">
        <v>7.2602447656816302</v>
      </c>
      <c r="G39">
        <v>4.79181800436168</v>
      </c>
      <c r="H39" s="2">
        <f t="shared" si="0"/>
        <v>44743</v>
      </c>
      <c r="I39" t="str">
        <f t="shared" si="1"/>
        <v>FY2023</v>
      </c>
      <c r="J39" s="3">
        <f t="shared" si="2"/>
        <v>0.58460180650085891</v>
      </c>
    </row>
    <row r="40" spans="1:10" x14ac:dyDescent="0.3">
      <c r="A40" s="1">
        <v>44713</v>
      </c>
      <c r="B40">
        <v>330</v>
      </c>
      <c r="C40">
        <v>5862.75</v>
      </c>
      <c r="D40">
        <v>1014384.31</v>
      </c>
      <c r="E40">
        <v>1730.2192827597901</v>
      </c>
      <c r="F40">
        <v>-1.5524247716281501</v>
      </c>
      <c r="G40">
        <v>-2.6053996251843499</v>
      </c>
      <c r="H40" s="2">
        <f t="shared" si="0"/>
        <v>44713</v>
      </c>
      <c r="I40" t="str">
        <f t="shared" si="1"/>
        <v>FY2023</v>
      </c>
      <c r="J40" s="3">
        <f t="shared" si="2"/>
        <v>0.59226642787087957</v>
      </c>
    </row>
    <row r="41" spans="1:10" x14ac:dyDescent="0.3">
      <c r="A41" s="1">
        <v>44682</v>
      </c>
      <c r="B41">
        <v>323</v>
      </c>
      <c r="C41">
        <v>5955.2</v>
      </c>
      <c r="D41">
        <v>1041520.07</v>
      </c>
      <c r="E41">
        <v>1748.925426518</v>
      </c>
      <c r="F41">
        <v>6.6657113943095503</v>
      </c>
      <c r="G41">
        <v>5.9206412693423296</v>
      </c>
      <c r="H41" s="2">
        <f t="shared" si="0"/>
        <v>44682</v>
      </c>
      <c r="I41" t="str">
        <f t="shared" si="1"/>
        <v>FY2023</v>
      </c>
      <c r="J41" s="3">
        <f t="shared" si="2"/>
        <v>0.58100315690488991</v>
      </c>
    </row>
    <row r="42" spans="1:10" x14ac:dyDescent="0.3">
      <c r="A42" s="1">
        <v>44652</v>
      </c>
      <c r="B42">
        <v>316</v>
      </c>
      <c r="C42">
        <v>5583.05</v>
      </c>
      <c r="D42">
        <v>983302.27</v>
      </c>
      <c r="E42">
        <v>1761.2277697674201</v>
      </c>
      <c r="F42">
        <v>3.2817515007446101</v>
      </c>
      <c r="G42">
        <v>2.36529708468513</v>
      </c>
      <c r="H42" s="2">
        <f t="shared" si="0"/>
        <v>44652</v>
      </c>
      <c r="I42" t="str">
        <f t="shared" si="1"/>
        <v>FY2023</v>
      </c>
      <c r="J42" s="3">
        <f t="shared" si="2"/>
        <v>0.58753011346844475</v>
      </c>
    </row>
    <row r="43" spans="1:10" x14ac:dyDescent="0.3">
      <c r="A43" s="1">
        <v>44621</v>
      </c>
      <c r="B43">
        <v>314</v>
      </c>
      <c r="C43">
        <v>5405.65</v>
      </c>
      <c r="D43">
        <v>960581.66</v>
      </c>
      <c r="E43">
        <v>1776.9956619462901</v>
      </c>
      <c r="F43">
        <v>19.396177573004</v>
      </c>
      <c r="G43">
        <v>16.174613560252599</v>
      </c>
      <c r="H43" s="2">
        <f t="shared" si="0"/>
        <v>44621</v>
      </c>
      <c r="I43" t="str">
        <f t="shared" si="1"/>
        <v>FY2022</v>
      </c>
      <c r="J43" s="3">
        <f t="shared" si="2"/>
        <v>0.60670779647220963</v>
      </c>
    </row>
    <row r="44" spans="1:10" x14ac:dyDescent="0.3">
      <c r="A44" s="1">
        <v>44593</v>
      </c>
      <c r="B44">
        <v>304</v>
      </c>
      <c r="C44">
        <v>4527.49</v>
      </c>
      <c r="D44">
        <v>826843</v>
      </c>
      <c r="E44">
        <v>1826.27239375459</v>
      </c>
      <c r="F44">
        <v>-1.9418905601940499</v>
      </c>
      <c r="G44">
        <v>-0.61900873193528805</v>
      </c>
      <c r="H44" s="2">
        <f t="shared" si="0"/>
        <v>44593</v>
      </c>
      <c r="I44" t="str">
        <f t="shared" si="1"/>
        <v>FY2022</v>
      </c>
      <c r="J44" s="3">
        <f t="shared" si="2"/>
        <v>0.66422454825963184</v>
      </c>
    </row>
    <row r="45" spans="1:10" x14ac:dyDescent="0.3">
      <c r="A45" s="1">
        <v>44562</v>
      </c>
      <c r="B45">
        <v>297</v>
      </c>
      <c r="C45">
        <v>4617.1499999999996</v>
      </c>
      <c r="D45">
        <v>831993.11</v>
      </c>
      <c r="E45">
        <v>1801.96248768179</v>
      </c>
      <c r="F45">
        <v>1.1135930622166501</v>
      </c>
      <c r="G45">
        <v>0.62222907125566396</v>
      </c>
      <c r="H45" s="2">
        <f t="shared" si="0"/>
        <v>44562</v>
      </c>
      <c r="I45" t="str">
        <f t="shared" si="1"/>
        <v>FY2022</v>
      </c>
      <c r="J45" s="3">
        <f t="shared" si="2"/>
        <v>0.74066036407740721</v>
      </c>
    </row>
    <row r="46" spans="1:10" x14ac:dyDescent="0.3">
      <c r="A46" s="1">
        <v>44531</v>
      </c>
      <c r="B46">
        <v>282</v>
      </c>
      <c r="C46">
        <v>4566.3</v>
      </c>
      <c r="D46">
        <v>826848.22</v>
      </c>
      <c r="E46">
        <v>1810.7619297899801</v>
      </c>
      <c r="F46">
        <v>9.0725382660373501</v>
      </c>
      <c r="G46">
        <v>7.6014270073799501</v>
      </c>
      <c r="H46" s="2">
        <f t="shared" si="0"/>
        <v>44531</v>
      </c>
      <c r="I46" t="str">
        <f t="shared" si="1"/>
        <v>FY2022</v>
      </c>
      <c r="J46" s="3">
        <f t="shared" si="2"/>
        <v>0.71462453189672148</v>
      </c>
    </row>
    <row r="47" spans="1:10" x14ac:dyDescent="0.3">
      <c r="A47" s="1">
        <v>44501</v>
      </c>
      <c r="B47">
        <v>274</v>
      </c>
      <c r="C47">
        <v>4186.4799999999996</v>
      </c>
      <c r="D47">
        <v>768436.11</v>
      </c>
      <c r="E47">
        <v>1835.5184068716401</v>
      </c>
      <c r="F47">
        <v>-0.76256622379197103</v>
      </c>
      <c r="G47">
        <v>-0.39003040761247298</v>
      </c>
      <c r="H47" s="2">
        <f t="shared" si="0"/>
        <v>44501</v>
      </c>
      <c r="I47" t="str">
        <f t="shared" si="1"/>
        <v>FY2022</v>
      </c>
      <c r="J47" s="3">
        <f t="shared" si="2"/>
        <v>0.74596558445281014</v>
      </c>
    </row>
    <row r="48" spans="1:10" x14ac:dyDescent="0.3">
      <c r="A48" s="1">
        <v>44470</v>
      </c>
      <c r="B48">
        <v>261</v>
      </c>
      <c r="C48">
        <v>4218.6499999999996</v>
      </c>
      <c r="D48">
        <v>771444.98</v>
      </c>
      <c r="E48">
        <v>1828.6536688276999</v>
      </c>
      <c r="F48">
        <v>15.443450181977299</v>
      </c>
      <c r="G48">
        <v>17.8945283272006</v>
      </c>
      <c r="H48" s="2">
        <f t="shared" si="0"/>
        <v>44470</v>
      </c>
      <c r="I48" t="str">
        <f t="shared" si="1"/>
        <v>FY2022</v>
      </c>
      <c r="J48" s="3">
        <f t="shared" si="2"/>
        <v>0.73169615872376248</v>
      </c>
    </row>
    <row r="49" spans="1:10" x14ac:dyDescent="0.3">
      <c r="A49" s="1">
        <v>44440</v>
      </c>
      <c r="B49">
        <v>259</v>
      </c>
      <c r="C49">
        <v>3654.3</v>
      </c>
      <c r="D49">
        <v>654351.81000000006</v>
      </c>
      <c r="E49">
        <v>1790.6351695263099</v>
      </c>
      <c r="F49">
        <v>2.7773480896063898</v>
      </c>
      <c r="G49">
        <v>2.3837358718150101</v>
      </c>
      <c r="H49" s="2">
        <f t="shared" si="0"/>
        <v>44440</v>
      </c>
      <c r="I49" t="str">
        <f t="shared" si="1"/>
        <v>FY2022</v>
      </c>
      <c r="J49" s="3">
        <f t="shared" si="2"/>
        <v>0.85556741373176792</v>
      </c>
    </row>
    <row r="50" spans="1:10" x14ac:dyDescent="0.3">
      <c r="A50" s="1">
        <v>44409</v>
      </c>
      <c r="B50">
        <v>249</v>
      </c>
      <c r="C50">
        <v>3555.55</v>
      </c>
      <c r="D50">
        <v>639116.94999999995</v>
      </c>
      <c r="E50">
        <v>1797.51923049879</v>
      </c>
      <c r="F50">
        <v>9.4749709035599299</v>
      </c>
      <c r="G50">
        <v>5.4159378931035</v>
      </c>
      <c r="H50" s="2">
        <f t="shared" si="0"/>
        <v>44409</v>
      </c>
      <c r="I50" t="str">
        <f t="shared" si="1"/>
        <v>FY2022</v>
      </c>
      <c r="J50" s="3">
        <f t="shared" si="2"/>
        <v>0.85052382894348266</v>
      </c>
    </row>
    <row r="51" spans="1:10" x14ac:dyDescent="0.3">
      <c r="A51" s="1">
        <v>44378</v>
      </c>
      <c r="B51">
        <v>235</v>
      </c>
      <c r="C51">
        <v>3247.82</v>
      </c>
      <c r="D51">
        <v>606281.14</v>
      </c>
      <c r="E51">
        <v>1866.7325775443201</v>
      </c>
      <c r="F51">
        <v>15.6832923124049</v>
      </c>
      <c r="G51">
        <v>10.761939610595</v>
      </c>
      <c r="H51" s="2">
        <f t="shared" si="0"/>
        <v>44378</v>
      </c>
      <c r="I51" t="str">
        <f t="shared" si="1"/>
        <v>FY2022</v>
      </c>
      <c r="J51" s="3">
        <f t="shared" si="2"/>
        <v>0.93619104507023154</v>
      </c>
    </row>
    <row r="52" spans="1:10" x14ac:dyDescent="0.3">
      <c r="A52" s="1">
        <v>44348</v>
      </c>
      <c r="B52">
        <v>229</v>
      </c>
      <c r="C52">
        <v>2807.51</v>
      </c>
      <c r="D52">
        <v>547373.17000000004</v>
      </c>
      <c r="E52">
        <v>1949.6748720396299</v>
      </c>
      <c r="F52">
        <v>10.550605023685099</v>
      </c>
      <c r="G52">
        <v>11.563402108659799</v>
      </c>
      <c r="H52" s="2">
        <f t="shared" si="0"/>
        <v>44348</v>
      </c>
      <c r="I52" t="str">
        <f t="shared" si="1"/>
        <v>FY2022</v>
      </c>
      <c r="J52" s="3">
        <f t="shared" si="2"/>
        <v>1.0882383321875966</v>
      </c>
    </row>
    <row r="53" spans="1:10" x14ac:dyDescent="0.3">
      <c r="A53" s="1">
        <v>44317</v>
      </c>
      <c r="B53">
        <v>224</v>
      </c>
      <c r="C53">
        <v>2539.5700000000002</v>
      </c>
      <c r="D53">
        <v>490638.65</v>
      </c>
      <c r="E53">
        <v>1931.97529503026</v>
      </c>
      <c r="F53">
        <v>-3.84277524933169</v>
      </c>
      <c r="G53">
        <v>-0.61277143175693105</v>
      </c>
      <c r="H53" s="2">
        <f t="shared" si="0"/>
        <v>44317</v>
      </c>
      <c r="I53" t="str">
        <f t="shared" si="1"/>
        <v>FY2022</v>
      </c>
      <c r="J53" s="3">
        <f t="shared" si="2"/>
        <v>1.3449639112133154</v>
      </c>
    </row>
    <row r="54" spans="1:10" x14ac:dyDescent="0.3">
      <c r="A54" s="1">
        <v>44287</v>
      </c>
      <c r="B54">
        <v>220</v>
      </c>
      <c r="C54">
        <v>2641.06</v>
      </c>
      <c r="D54">
        <v>493663.68</v>
      </c>
      <c r="E54">
        <v>1869.1876746457799</v>
      </c>
      <c r="F54">
        <v>-3.3173724594388698</v>
      </c>
      <c r="G54">
        <v>-2.2228285631913498</v>
      </c>
      <c r="H54" s="2">
        <f t="shared" si="0"/>
        <v>44287</v>
      </c>
      <c r="I54" t="str">
        <f t="shared" si="1"/>
        <v>FY2022</v>
      </c>
      <c r="J54" s="3">
        <f t="shared" si="2"/>
        <v>1.1139428865682719</v>
      </c>
    </row>
    <row r="55" spans="1:10" x14ac:dyDescent="0.3">
      <c r="A55" s="1">
        <v>44256</v>
      </c>
      <c r="B55">
        <v>216</v>
      </c>
      <c r="C55">
        <v>2731.68</v>
      </c>
      <c r="D55">
        <v>504886.44</v>
      </c>
      <c r="E55">
        <v>1848.2634862062901</v>
      </c>
      <c r="F55">
        <v>19.136464738976802</v>
      </c>
      <c r="G55">
        <v>18.779269207210699</v>
      </c>
      <c r="H55" s="2">
        <f t="shared" si="0"/>
        <v>44256</v>
      </c>
      <c r="I55" t="str">
        <f t="shared" si="1"/>
        <v>FY2021</v>
      </c>
      <c r="J55" s="3">
        <f t="shared" si="2"/>
        <v>0.97887380659520873</v>
      </c>
    </row>
    <row r="56" spans="1:10" x14ac:dyDescent="0.3">
      <c r="A56" s="1">
        <v>44228</v>
      </c>
      <c r="B56">
        <v>213</v>
      </c>
      <c r="C56">
        <v>2292.9</v>
      </c>
      <c r="D56">
        <v>425062.76</v>
      </c>
      <c r="E56">
        <v>1853.82162327183</v>
      </c>
      <c r="F56">
        <v>-0.42688461087491097</v>
      </c>
      <c r="G56">
        <v>-1.4191528313028099</v>
      </c>
      <c r="H56" s="2">
        <f t="shared" si="0"/>
        <v>44228</v>
      </c>
      <c r="I56" t="str">
        <f t="shared" si="1"/>
        <v>FY2021</v>
      </c>
      <c r="J56" s="3">
        <f t="shared" si="2"/>
        <v>0.97456932269178753</v>
      </c>
    </row>
    <row r="57" spans="1:10" x14ac:dyDescent="0.3">
      <c r="A57" s="1">
        <v>44197</v>
      </c>
      <c r="B57">
        <v>207</v>
      </c>
      <c r="C57">
        <v>2302.73</v>
      </c>
      <c r="D57">
        <v>431181.89</v>
      </c>
      <c r="E57">
        <v>1872.48131565576</v>
      </c>
      <c r="F57">
        <v>3.0691624592688198</v>
      </c>
      <c r="G57">
        <v>3.6056073459845099</v>
      </c>
      <c r="H57" s="2">
        <f t="shared" si="0"/>
        <v>44197</v>
      </c>
      <c r="I57" t="str">
        <f t="shared" si="1"/>
        <v>FY2021</v>
      </c>
      <c r="J57" s="3">
        <f t="shared" si="2"/>
        <v>1.0050765830123374</v>
      </c>
    </row>
    <row r="58" spans="1:10" x14ac:dyDescent="0.3">
      <c r="A58" s="1">
        <v>44166</v>
      </c>
      <c r="B58">
        <v>207</v>
      </c>
      <c r="C58">
        <v>2234.16</v>
      </c>
      <c r="D58">
        <v>416176.21</v>
      </c>
      <c r="E58">
        <v>1862.7860582948399</v>
      </c>
      <c r="F58">
        <v>1.0826927514331099</v>
      </c>
      <c r="G58">
        <v>6.4391597782245702</v>
      </c>
      <c r="H58" s="2">
        <f t="shared" si="0"/>
        <v>44166</v>
      </c>
      <c r="I58" t="str">
        <f t="shared" si="1"/>
        <v>FY2021</v>
      </c>
      <c r="J58" s="3">
        <f t="shared" si="2"/>
        <v>1.0438554087442262</v>
      </c>
    </row>
    <row r="59" spans="1:10" x14ac:dyDescent="0.3">
      <c r="A59" s="1">
        <v>44136</v>
      </c>
      <c r="B59">
        <v>200</v>
      </c>
      <c r="C59">
        <v>2210.23</v>
      </c>
      <c r="D59">
        <v>390999.15</v>
      </c>
      <c r="E59">
        <v>1769.0428145487101</v>
      </c>
      <c r="F59">
        <v>6.69089891003176</v>
      </c>
      <c r="G59">
        <v>1.26711333762266</v>
      </c>
      <c r="H59" s="2">
        <f t="shared" si="0"/>
        <v>44136</v>
      </c>
      <c r="I59" t="str">
        <f t="shared" si="1"/>
        <v>FY2021</v>
      </c>
      <c r="J59" s="3">
        <f t="shared" si="2"/>
        <v>0.8941377141745428</v>
      </c>
    </row>
    <row r="60" spans="1:10" x14ac:dyDescent="0.3">
      <c r="A60" s="1">
        <v>44105</v>
      </c>
      <c r="B60">
        <v>189</v>
      </c>
      <c r="C60">
        <v>2071.62</v>
      </c>
      <c r="D60">
        <v>386106.74</v>
      </c>
      <c r="E60">
        <v>1863.7913323872101</v>
      </c>
      <c r="F60">
        <v>15.081049251724799</v>
      </c>
      <c r="G60">
        <v>17.347805956496099</v>
      </c>
      <c r="H60" s="2">
        <f t="shared" si="0"/>
        <v>44105</v>
      </c>
      <c r="I60" t="str">
        <f t="shared" si="1"/>
        <v>FY2021</v>
      </c>
      <c r="J60" s="3">
        <f t="shared" si="2"/>
        <v>1.0364014635888821</v>
      </c>
    </row>
    <row r="61" spans="1:10" x14ac:dyDescent="0.3">
      <c r="A61" s="1">
        <v>44075</v>
      </c>
      <c r="B61">
        <v>174</v>
      </c>
      <c r="C61">
        <v>1800.14</v>
      </c>
      <c r="D61">
        <v>329027.65999999997</v>
      </c>
      <c r="E61">
        <v>1827.7892830557601</v>
      </c>
      <c r="F61">
        <v>11.2000642439292</v>
      </c>
      <c r="G61">
        <v>10.2981114025217</v>
      </c>
      <c r="H61" s="2">
        <f t="shared" si="0"/>
        <v>44075</v>
      </c>
      <c r="I61" t="str">
        <f t="shared" si="1"/>
        <v>FY2021</v>
      </c>
      <c r="J61" s="3">
        <f t="shared" si="2"/>
        <v>1.030008777095115</v>
      </c>
    </row>
    <row r="62" spans="1:10" x14ac:dyDescent="0.3">
      <c r="A62" s="1">
        <v>44044</v>
      </c>
      <c r="B62">
        <v>168</v>
      </c>
      <c r="C62">
        <v>1618.83</v>
      </c>
      <c r="D62">
        <v>298307.61</v>
      </c>
      <c r="E62">
        <v>1842.7358647912299</v>
      </c>
      <c r="F62">
        <v>8.1122776085911195</v>
      </c>
      <c r="G62">
        <v>2.6742642077696801</v>
      </c>
      <c r="H62" s="2">
        <f t="shared" si="0"/>
        <v>44044</v>
      </c>
      <c r="I62" t="str">
        <f t="shared" si="1"/>
        <v>FY2021</v>
      </c>
      <c r="J62" s="3">
        <f t="shared" si="2"/>
        <v>1.1963702179969484</v>
      </c>
    </row>
    <row r="63" spans="1:10" x14ac:dyDescent="0.3">
      <c r="A63" s="1">
        <v>44013</v>
      </c>
      <c r="B63">
        <v>164</v>
      </c>
      <c r="C63">
        <v>1497.36</v>
      </c>
      <c r="D63">
        <v>290537.86</v>
      </c>
      <c r="E63">
        <v>1940.33405460276</v>
      </c>
      <c r="F63">
        <v>11.9998803228291</v>
      </c>
      <c r="G63">
        <v>10.962193747971</v>
      </c>
      <c r="H63" s="2">
        <f t="shared" si="0"/>
        <v>44013</v>
      </c>
      <c r="I63" t="str">
        <f t="shared" si="1"/>
        <v>FY2021</v>
      </c>
      <c r="J63" s="3">
        <f t="shared" si="2"/>
        <v>1.169030827589892</v>
      </c>
    </row>
    <row r="64" spans="1:10" x14ac:dyDescent="0.3">
      <c r="A64" s="1">
        <v>43983</v>
      </c>
      <c r="B64">
        <v>155</v>
      </c>
      <c r="C64">
        <v>1336.93</v>
      </c>
      <c r="D64">
        <v>261835</v>
      </c>
      <c r="E64">
        <v>1958.47950154458</v>
      </c>
      <c r="F64">
        <v>8.29728635074928</v>
      </c>
      <c r="G64">
        <v>19.892431760195901</v>
      </c>
      <c r="H64" s="2">
        <f t="shared" si="0"/>
        <v>43983</v>
      </c>
      <c r="I64" t="str">
        <f t="shared" si="1"/>
        <v>FY2021</v>
      </c>
      <c r="J64" s="3">
        <f t="shared" si="2"/>
        <v>1.0999678367603392</v>
      </c>
    </row>
    <row r="65" spans="1:10" x14ac:dyDescent="0.3">
      <c r="A65" s="1">
        <v>43952</v>
      </c>
      <c r="B65">
        <v>155</v>
      </c>
      <c r="C65">
        <v>1234.5</v>
      </c>
      <c r="D65">
        <v>218391.6</v>
      </c>
      <c r="E65">
        <v>1769.06925880923</v>
      </c>
      <c r="F65">
        <v>23.503106335724301</v>
      </c>
      <c r="G65">
        <v>44.495597677024797</v>
      </c>
      <c r="H65" s="2">
        <f t="shared" si="0"/>
        <v>43952</v>
      </c>
      <c r="I65" t="str">
        <f t="shared" si="1"/>
        <v>FY2021</v>
      </c>
      <c r="J65" s="3">
        <f t="shared" si="2"/>
        <v>1.0571648440664236</v>
      </c>
    </row>
    <row r="66" spans="1:10" x14ac:dyDescent="0.3">
      <c r="A66" s="1">
        <v>43922</v>
      </c>
      <c r="B66">
        <v>153</v>
      </c>
      <c r="C66">
        <v>999.57</v>
      </c>
      <c r="D66">
        <v>151140.66</v>
      </c>
      <c r="E66">
        <v>1512.0567844172899</v>
      </c>
      <c r="F66">
        <v>-19.831734625132299</v>
      </c>
      <c r="G66">
        <v>-26.795035859087299</v>
      </c>
      <c r="H66" s="2">
        <f t="shared" si="0"/>
        <v>43922</v>
      </c>
      <c r="I66" t="str">
        <f t="shared" si="1"/>
        <v>FY2021</v>
      </c>
      <c r="J66" s="3">
        <f t="shared" si="2"/>
        <v>1.642196144342067</v>
      </c>
    </row>
    <row r="67" spans="1:10" x14ac:dyDescent="0.3">
      <c r="A67" s="1">
        <v>43891</v>
      </c>
      <c r="B67">
        <v>148</v>
      </c>
      <c r="C67">
        <v>1246.8399999999999</v>
      </c>
      <c r="D67">
        <v>206462.31</v>
      </c>
      <c r="E67">
        <v>1655.8845561579601</v>
      </c>
      <c r="F67">
        <v>-5.9478460273517904</v>
      </c>
      <c r="G67">
        <v>-7.2150189008073298</v>
      </c>
      <c r="H67" s="2">
        <f t="shared" ref="H67:H114" si="3">A67</f>
        <v>43891</v>
      </c>
      <c r="I67" t="str">
        <f t="shared" ref="I67:I114" si="4">IF(MONTH(H67)&gt;=4,"FY"&amp;(YEAR(H67)+1),"FY"&amp;YEAR(H67))</f>
        <v>FY2020</v>
      </c>
      <c r="J67" s="3">
        <f t="shared" si="2"/>
        <v>1.1908825510891532</v>
      </c>
    </row>
    <row r="68" spans="1:10" x14ac:dyDescent="0.3">
      <c r="A68" s="1">
        <v>43862</v>
      </c>
      <c r="B68">
        <v>146</v>
      </c>
      <c r="C68">
        <v>1325.69</v>
      </c>
      <c r="D68">
        <v>222516.95</v>
      </c>
      <c r="E68">
        <v>1678.49912121234</v>
      </c>
      <c r="F68">
        <v>1.58388377189622</v>
      </c>
      <c r="G68">
        <v>2.9013567469961998</v>
      </c>
      <c r="H68" s="2">
        <f t="shared" si="3"/>
        <v>43862</v>
      </c>
      <c r="I68" t="str">
        <f t="shared" si="4"/>
        <v>FY2020</v>
      </c>
      <c r="J68" s="3">
        <f t="shared" si="2"/>
        <v>0.72958987395243224</v>
      </c>
    </row>
    <row r="69" spans="1:10" x14ac:dyDescent="0.3">
      <c r="A69" s="1">
        <v>43831</v>
      </c>
      <c r="B69">
        <v>144</v>
      </c>
      <c r="C69">
        <v>1305.02</v>
      </c>
      <c r="D69">
        <v>216242.97</v>
      </c>
      <c r="E69">
        <v>1657.0088581017901</v>
      </c>
      <c r="F69">
        <v>-0.25833078569246198</v>
      </c>
      <c r="G69">
        <v>6.7757053647240904</v>
      </c>
      <c r="H69" s="2">
        <f t="shared" si="3"/>
        <v>43831</v>
      </c>
      <c r="I69" t="str">
        <f t="shared" si="4"/>
        <v>FY2020</v>
      </c>
      <c r="J69" s="3">
        <f t="shared" si="2"/>
        <v>0.76451701889626222</v>
      </c>
    </row>
    <row r="70" spans="1:10" x14ac:dyDescent="0.3">
      <c r="A70" s="1">
        <v>43800</v>
      </c>
      <c r="B70">
        <v>143</v>
      </c>
      <c r="C70">
        <v>1308.4000000000001</v>
      </c>
      <c r="D70">
        <v>202520.76</v>
      </c>
      <c r="E70">
        <v>1547.8505044328899</v>
      </c>
      <c r="F70">
        <v>7.3541357270034498</v>
      </c>
      <c r="G70">
        <v>7.0241155839199898</v>
      </c>
      <c r="H70" s="2">
        <f t="shared" si="3"/>
        <v>43800</v>
      </c>
      <c r="I70" t="str">
        <f t="shared" si="4"/>
        <v>FY2020</v>
      </c>
      <c r="J70" s="3">
        <f t="shared" si="2"/>
        <v>0.70755120758177914</v>
      </c>
    </row>
    <row r="71" spans="1:10" x14ac:dyDescent="0.3">
      <c r="A71" s="1">
        <v>43770</v>
      </c>
      <c r="B71">
        <v>143</v>
      </c>
      <c r="C71">
        <v>1218.77</v>
      </c>
      <c r="D71">
        <v>189229.09</v>
      </c>
      <c r="E71">
        <v>1552.6234646405801</v>
      </c>
      <c r="F71">
        <v>6.1313525375317797</v>
      </c>
      <c r="G71">
        <v>-1.1135298223860199</v>
      </c>
      <c r="H71" s="2">
        <f t="shared" si="3"/>
        <v>43770</v>
      </c>
      <c r="I71" t="str">
        <f t="shared" si="4"/>
        <v>FY2020</v>
      </c>
      <c r="J71" s="3">
        <f t="shared" si="2"/>
        <v>0.81349229140855139</v>
      </c>
    </row>
    <row r="72" spans="1:10" x14ac:dyDescent="0.3">
      <c r="A72" s="1">
        <v>43739</v>
      </c>
      <c r="B72">
        <v>141</v>
      </c>
      <c r="C72">
        <v>1148.3599999999999</v>
      </c>
      <c r="D72">
        <v>191359.94</v>
      </c>
      <c r="E72">
        <v>1666.3758751610901</v>
      </c>
      <c r="F72">
        <v>20.244602207283599</v>
      </c>
      <c r="G72">
        <v>18.5210065171709</v>
      </c>
      <c r="H72" s="2">
        <f t="shared" si="3"/>
        <v>43739</v>
      </c>
      <c r="I72" t="str">
        <f t="shared" si="4"/>
        <v>FY2020</v>
      </c>
      <c r="J72" s="3">
        <f t="shared" si="2"/>
        <v>0.80398132989654814</v>
      </c>
    </row>
    <row r="73" spans="1:10" x14ac:dyDescent="0.3">
      <c r="A73" s="1">
        <v>43709</v>
      </c>
      <c r="B73">
        <v>141</v>
      </c>
      <c r="C73">
        <v>955.02</v>
      </c>
      <c r="D73">
        <v>161456.56</v>
      </c>
      <c r="E73">
        <v>1690.60920190153</v>
      </c>
      <c r="F73">
        <v>3.9930309794740499</v>
      </c>
      <c r="G73">
        <v>4.49932037749742</v>
      </c>
      <c r="H73" s="2">
        <f t="shared" si="3"/>
        <v>43709</v>
      </c>
      <c r="I73" t="str">
        <f t="shared" si="4"/>
        <v>FY2020</v>
      </c>
      <c r="J73" s="3">
        <f t="shared" si="2"/>
        <v>0.88492387593977107</v>
      </c>
    </row>
    <row r="74" spans="1:10" x14ac:dyDescent="0.3">
      <c r="A74" s="1">
        <v>43678</v>
      </c>
      <c r="B74">
        <v>141</v>
      </c>
      <c r="C74">
        <v>918.35</v>
      </c>
      <c r="D74">
        <v>154504.89000000001</v>
      </c>
      <c r="E74">
        <v>1682.4183590134401</v>
      </c>
      <c r="F74">
        <v>11.6820099964732</v>
      </c>
      <c r="G74">
        <v>5.5457588206136696</v>
      </c>
      <c r="H74" s="2">
        <f t="shared" si="3"/>
        <v>43678</v>
      </c>
      <c r="I74" t="str">
        <f t="shared" si="4"/>
        <v>FY2020</v>
      </c>
      <c r="J74" s="3">
        <f t="shared" si="2"/>
        <v>0.76275929656449049</v>
      </c>
    </row>
    <row r="75" spans="1:10" x14ac:dyDescent="0.3">
      <c r="A75" s="1">
        <v>43647</v>
      </c>
      <c r="B75">
        <v>143</v>
      </c>
      <c r="C75">
        <v>822.29</v>
      </c>
      <c r="D75">
        <v>146386.64000000001</v>
      </c>
      <c r="E75">
        <v>1780.2313052572599</v>
      </c>
      <c r="F75">
        <v>8.9789805709438806</v>
      </c>
      <c r="G75">
        <v>-0.122613410240479</v>
      </c>
      <c r="H75" s="2">
        <f t="shared" si="3"/>
        <v>43647</v>
      </c>
      <c r="I75" t="str">
        <f t="shared" si="4"/>
        <v>FY2020</v>
      </c>
      <c r="J75" s="3">
        <f t="shared" si="2"/>
        <v>0.82096340707049831</v>
      </c>
    </row>
    <row r="76" spans="1:10" x14ac:dyDescent="0.3">
      <c r="A76" s="1">
        <v>43617</v>
      </c>
      <c r="B76">
        <v>142</v>
      </c>
      <c r="C76">
        <v>754.54</v>
      </c>
      <c r="D76">
        <v>146566.35</v>
      </c>
      <c r="E76">
        <v>1942.45964428658</v>
      </c>
      <c r="F76">
        <v>2.8628295662131502</v>
      </c>
      <c r="G76">
        <v>-3.8589487691284101</v>
      </c>
      <c r="H76" s="2">
        <f t="shared" si="3"/>
        <v>43617</v>
      </c>
      <c r="I76" t="str">
        <f t="shared" si="4"/>
        <v>FY2020</v>
      </c>
      <c r="J76" s="3">
        <f t="shared" si="2"/>
        <v>0.77184774829697589</v>
      </c>
    </row>
    <row r="77" spans="1:10" x14ac:dyDescent="0.3">
      <c r="A77" s="1">
        <v>43586</v>
      </c>
      <c r="B77">
        <v>143</v>
      </c>
      <c r="C77">
        <v>733.54</v>
      </c>
      <c r="D77">
        <v>152449.29</v>
      </c>
      <c r="E77">
        <v>2078.2682607628699</v>
      </c>
      <c r="F77">
        <v>-6.1717340973918704</v>
      </c>
      <c r="G77">
        <v>7.3326607732113303</v>
      </c>
      <c r="H77" s="2">
        <f t="shared" si="3"/>
        <v>43586</v>
      </c>
      <c r="I77" t="str">
        <f t="shared" si="4"/>
        <v>FY2020</v>
      </c>
      <c r="J77" s="3">
        <f t="shared" si="2"/>
        <v>0.68293480928102079</v>
      </c>
    </row>
    <row r="78" spans="1:10" x14ac:dyDescent="0.3">
      <c r="A78" s="1">
        <v>43556</v>
      </c>
      <c r="B78">
        <v>144</v>
      </c>
      <c r="C78">
        <v>781.79</v>
      </c>
      <c r="D78">
        <v>142034.39000000001</v>
      </c>
      <c r="E78">
        <v>1816.78443060156</v>
      </c>
      <c r="F78">
        <v>-2.2200265152462602</v>
      </c>
      <c r="G78">
        <v>6.42411490062395</v>
      </c>
      <c r="H78" s="2">
        <f t="shared" si="3"/>
        <v>43556</v>
      </c>
      <c r="I78" t="str">
        <f t="shared" si="4"/>
        <v>FY2020</v>
      </c>
      <c r="J78" s="3">
        <f t="shared" si="2"/>
        <v>0.27856585528083011</v>
      </c>
    </row>
    <row r="79" spans="1:10" x14ac:dyDescent="0.3">
      <c r="A79" s="1">
        <v>43525</v>
      </c>
      <c r="B79">
        <v>142</v>
      </c>
      <c r="C79">
        <v>799.54</v>
      </c>
      <c r="D79">
        <v>133460.72</v>
      </c>
      <c r="E79">
        <v>1669.2188008104599</v>
      </c>
      <c r="F79">
        <v>18.5926815882762</v>
      </c>
      <c r="G79">
        <v>25.0368381683897</v>
      </c>
      <c r="H79" s="2">
        <f t="shared" si="3"/>
        <v>43525</v>
      </c>
      <c r="I79" t="str">
        <f t="shared" si="4"/>
        <v>FY2019</v>
      </c>
      <c r="J79" s="3">
        <f t="shared" ref="J79:J111" si="5">IFERROR((C67/C79)-1,"")</f>
        <v>0.55944668184205915</v>
      </c>
    </row>
    <row r="80" spans="1:10" x14ac:dyDescent="0.3">
      <c r="A80" s="1">
        <v>43497</v>
      </c>
      <c r="B80">
        <v>139</v>
      </c>
      <c r="C80">
        <v>674.19</v>
      </c>
      <c r="D80">
        <v>106737.12</v>
      </c>
      <c r="E80">
        <v>1583.19049526097</v>
      </c>
      <c r="F80">
        <v>0.21404682274248599</v>
      </c>
      <c r="G80">
        <v>-2.9066127256533698</v>
      </c>
      <c r="H80" s="2">
        <f t="shared" si="3"/>
        <v>43497</v>
      </c>
      <c r="I80" t="str">
        <f t="shared" si="4"/>
        <v>FY2019</v>
      </c>
      <c r="J80" s="3">
        <f t="shared" si="5"/>
        <v>0.96634479894391778</v>
      </c>
    </row>
    <row r="81" spans="1:10" x14ac:dyDescent="0.3">
      <c r="A81" s="1">
        <v>43466</v>
      </c>
      <c r="B81">
        <v>134</v>
      </c>
      <c r="C81">
        <v>672.75</v>
      </c>
      <c r="D81">
        <v>109932.43</v>
      </c>
      <c r="E81">
        <v>1634.0755109624599</v>
      </c>
      <c r="F81">
        <v>8.4783204605188995</v>
      </c>
      <c r="G81">
        <v>7.1520277534479604</v>
      </c>
      <c r="H81" s="2">
        <f t="shared" si="3"/>
        <v>43466</v>
      </c>
      <c r="I81" t="str">
        <f t="shared" si="4"/>
        <v>FY2019</v>
      </c>
      <c r="J81" s="3">
        <f t="shared" si="5"/>
        <v>0.93982905982905973</v>
      </c>
    </row>
    <row r="82" spans="1:10" x14ac:dyDescent="0.3">
      <c r="A82" s="1">
        <v>43435</v>
      </c>
      <c r="B82">
        <v>129</v>
      </c>
      <c r="C82">
        <v>620.16999999999996</v>
      </c>
      <c r="D82">
        <v>102594.82</v>
      </c>
      <c r="E82">
        <v>1654.3015624748</v>
      </c>
      <c r="F82">
        <v>18.141120890006398</v>
      </c>
      <c r="G82">
        <v>24.762328532821801</v>
      </c>
      <c r="H82" s="2">
        <f t="shared" si="3"/>
        <v>43435</v>
      </c>
      <c r="I82" t="str">
        <f t="shared" si="4"/>
        <v>FY2019</v>
      </c>
      <c r="J82" s="3">
        <f t="shared" si="5"/>
        <v>1.1097441024235293</v>
      </c>
    </row>
    <row r="83" spans="1:10" x14ac:dyDescent="0.3">
      <c r="A83" s="1">
        <v>43405</v>
      </c>
      <c r="B83">
        <v>128</v>
      </c>
      <c r="C83">
        <v>524.94000000000005</v>
      </c>
      <c r="D83">
        <v>82232.210000000006</v>
      </c>
      <c r="E83">
        <v>1566.50683887682</v>
      </c>
      <c r="F83">
        <v>8.8274317936810807</v>
      </c>
      <c r="G83">
        <v>9.6747230897698806</v>
      </c>
      <c r="H83" s="2">
        <f t="shared" si="3"/>
        <v>43405</v>
      </c>
      <c r="I83" t="str">
        <f t="shared" si="4"/>
        <v>FY2019</v>
      </c>
      <c r="J83" s="3">
        <f t="shared" si="5"/>
        <v>1.3217320074675198</v>
      </c>
    </row>
    <row r="84" spans="1:10" x14ac:dyDescent="0.3">
      <c r="A84" s="1">
        <v>43374</v>
      </c>
      <c r="B84">
        <v>128</v>
      </c>
      <c r="C84">
        <v>482.36</v>
      </c>
      <c r="D84">
        <v>74978.27</v>
      </c>
      <c r="E84">
        <v>1554.4048013931499</v>
      </c>
      <c r="F84">
        <v>18.845935890802402</v>
      </c>
      <c r="G84">
        <v>25.307627463092</v>
      </c>
      <c r="H84" s="2">
        <f t="shared" si="3"/>
        <v>43374</v>
      </c>
      <c r="I84" t="str">
        <f t="shared" si="4"/>
        <v>FY2019</v>
      </c>
      <c r="J84" s="3">
        <f t="shared" si="5"/>
        <v>1.3807115017829004</v>
      </c>
    </row>
    <row r="85" spans="1:10" x14ac:dyDescent="0.3">
      <c r="A85" s="1">
        <v>43344</v>
      </c>
      <c r="B85">
        <v>122</v>
      </c>
      <c r="C85">
        <v>405.87</v>
      </c>
      <c r="D85">
        <v>59835.360000000001</v>
      </c>
      <c r="E85">
        <v>1474.24939019883</v>
      </c>
      <c r="F85">
        <v>30.0782001153772</v>
      </c>
      <c r="G85">
        <v>10.372377023204701</v>
      </c>
      <c r="H85" s="2">
        <f t="shared" si="3"/>
        <v>43344</v>
      </c>
      <c r="I85" t="str">
        <f t="shared" si="4"/>
        <v>FY2019</v>
      </c>
      <c r="J85" s="3">
        <f t="shared" si="5"/>
        <v>1.3530194397220785</v>
      </c>
    </row>
    <row r="86" spans="1:10" x14ac:dyDescent="0.3">
      <c r="A86" s="1">
        <v>43313</v>
      </c>
      <c r="B86">
        <v>114</v>
      </c>
      <c r="C86">
        <v>312.02</v>
      </c>
      <c r="D86">
        <v>54212.26</v>
      </c>
      <c r="E86">
        <v>1737.4610601884399</v>
      </c>
      <c r="F86">
        <v>13.979908675799001</v>
      </c>
      <c r="G86">
        <v>4.5697849320083597</v>
      </c>
      <c r="H86" s="2">
        <f t="shared" si="3"/>
        <v>43313</v>
      </c>
      <c r="I86" t="str">
        <f t="shared" si="4"/>
        <v>FY2019</v>
      </c>
      <c r="J86" s="3">
        <f t="shared" si="5"/>
        <v>1.9432408178962888</v>
      </c>
    </row>
    <row r="87" spans="1:10" x14ac:dyDescent="0.3">
      <c r="A87" s="1">
        <v>43282</v>
      </c>
      <c r="B87">
        <v>114</v>
      </c>
      <c r="C87">
        <v>273.75</v>
      </c>
      <c r="D87">
        <v>51843.14</v>
      </c>
      <c r="E87">
        <v>1893.8133333333301</v>
      </c>
      <c r="F87">
        <v>11.113366075415</v>
      </c>
      <c r="G87">
        <v>26.960625732997599</v>
      </c>
      <c r="H87" s="2">
        <f t="shared" si="3"/>
        <v>43282</v>
      </c>
      <c r="I87" t="str">
        <f t="shared" si="4"/>
        <v>FY2019</v>
      </c>
      <c r="J87" s="3">
        <f t="shared" si="5"/>
        <v>2.0037990867579909</v>
      </c>
    </row>
    <row r="88" spans="1:10" x14ac:dyDescent="0.3">
      <c r="A88" s="1">
        <v>43252</v>
      </c>
      <c r="B88">
        <v>110</v>
      </c>
      <c r="C88">
        <v>246.37</v>
      </c>
      <c r="D88">
        <v>40834.03</v>
      </c>
      <c r="E88">
        <v>1657.4270406299399</v>
      </c>
      <c r="F88">
        <v>30.0242769685455</v>
      </c>
      <c r="G88">
        <v>22.667040369184399</v>
      </c>
      <c r="H88" s="2">
        <f t="shared" si="3"/>
        <v>43252</v>
      </c>
      <c r="I88" t="str">
        <f t="shared" si="4"/>
        <v>FY2019</v>
      </c>
      <c r="J88" s="3">
        <f t="shared" si="5"/>
        <v>2.0626293785769367</v>
      </c>
    </row>
    <row r="89" spans="1:10" x14ac:dyDescent="0.3">
      <c r="A89" s="1">
        <v>43221</v>
      </c>
      <c r="B89">
        <v>101</v>
      </c>
      <c r="C89">
        <v>189.48</v>
      </c>
      <c r="D89">
        <v>33288.51</v>
      </c>
      <c r="E89">
        <v>1756.83502216592</v>
      </c>
      <c r="F89">
        <v>-0.31565656565657402</v>
      </c>
      <c r="G89">
        <v>23.191084252188499</v>
      </c>
      <c r="H89" s="2">
        <f t="shared" si="3"/>
        <v>43221</v>
      </c>
      <c r="I89" t="str">
        <f t="shared" si="4"/>
        <v>FY2019</v>
      </c>
      <c r="J89" s="3">
        <f t="shared" si="5"/>
        <v>2.8713320667088875</v>
      </c>
    </row>
    <row r="90" spans="1:10" x14ac:dyDescent="0.3">
      <c r="A90" s="1">
        <v>43191</v>
      </c>
      <c r="B90">
        <v>97</v>
      </c>
      <c r="C90">
        <v>190.08</v>
      </c>
      <c r="D90">
        <v>27021.85</v>
      </c>
      <c r="E90">
        <v>1421.60406144781</v>
      </c>
      <c r="F90">
        <v>6.7565290648694099</v>
      </c>
      <c r="G90">
        <v>11.787106062235701</v>
      </c>
      <c r="H90" s="2">
        <f t="shared" si="3"/>
        <v>43191</v>
      </c>
      <c r="I90" t="str">
        <f t="shared" si="4"/>
        <v>FY2019</v>
      </c>
      <c r="J90" s="3">
        <f t="shared" si="5"/>
        <v>3.1129524410774403</v>
      </c>
    </row>
    <row r="91" spans="1:10" x14ac:dyDescent="0.3">
      <c r="A91" s="1">
        <v>43160</v>
      </c>
      <c r="B91">
        <v>91</v>
      </c>
      <c r="C91">
        <v>178.05</v>
      </c>
      <c r="D91">
        <v>24172.6</v>
      </c>
      <c r="E91">
        <v>1357.6298792473999</v>
      </c>
      <c r="F91">
        <v>3.87981330221705</v>
      </c>
      <c r="G91">
        <v>26.3847497150505</v>
      </c>
      <c r="H91" s="2">
        <f t="shared" si="3"/>
        <v>43160</v>
      </c>
      <c r="I91" t="str">
        <f t="shared" si="4"/>
        <v>FY2018</v>
      </c>
      <c r="J91" s="3">
        <f t="shared" si="5"/>
        <v>3.4905363661892723</v>
      </c>
    </row>
    <row r="92" spans="1:10" x14ac:dyDescent="0.3">
      <c r="A92" s="1">
        <v>43132</v>
      </c>
      <c r="B92">
        <v>86</v>
      </c>
      <c r="C92">
        <v>171.4</v>
      </c>
      <c r="D92">
        <v>19126.2</v>
      </c>
      <c r="E92">
        <v>1115.8809801633599</v>
      </c>
      <c r="F92">
        <v>12.889415793980101</v>
      </c>
      <c r="G92">
        <v>22.8306103575832</v>
      </c>
      <c r="H92" s="2">
        <f t="shared" si="3"/>
        <v>43132</v>
      </c>
      <c r="I92" t="str">
        <f t="shared" si="4"/>
        <v>FY2018</v>
      </c>
      <c r="J92" s="3">
        <f t="shared" si="5"/>
        <v>2.9334305717619604</v>
      </c>
    </row>
    <row r="93" spans="1:10" x14ac:dyDescent="0.3">
      <c r="A93" s="1">
        <v>43101</v>
      </c>
      <c r="B93">
        <v>71</v>
      </c>
      <c r="C93">
        <v>151.83000000000001</v>
      </c>
      <c r="D93">
        <v>15571.2</v>
      </c>
      <c r="E93">
        <v>1025.56806955147</v>
      </c>
      <c r="F93">
        <v>4.25020598736611</v>
      </c>
      <c r="G93">
        <v>18.194294319824099</v>
      </c>
      <c r="H93" s="2">
        <f t="shared" si="3"/>
        <v>43101</v>
      </c>
      <c r="I93" t="str">
        <f t="shared" si="4"/>
        <v>FY2018</v>
      </c>
      <c r="J93" s="3">
        <f t="shared" si="5"/>
        <v>3.4309425014819199</v>
      </c>
    </row>
    <row r="94" spans="1:10" x14ac:dyDescent="0.3">
      <c r="A94" s="1">
        <v>43070</v>
      </c>
      <c r="B94">
        <v>67</v>
      </c>
      <c r="C94">
        <v>145.63999999999999</v>
      </c>
      <c r="D94">
        <v>13174.24</v>
      </c>
      <c r="E94">
        <v>904.57566602581699</v>
      </c>
      <c r="F94">
        <v>38.678346981527298</v>
      </c>
      <c r="G94">
        <v>36.247702788093903</v>
      </c>
      <c r="H94" s="2">
        <f t="shared" si="3"/>
        <v>43070</v>
      </c>
      <c r="I94" t="str">
        <f t="shared" si="4"/>
        <v>FY2018</v>
      </c>
      <c r="J94" s="3">
        <f t="shared" si="5"/>
        <v>3.2582394946443287</v>
      </c>
    </row>
    <row r="95" spans="1:10" x14ac:dyDescent="0.3">
      <c r="A95" s="1">
        <v>43040</v>
      </c>
      <c r="B95">
        <v>61</v>
      </c>
      <c r="C95">
        <v>105.02</v>
      </c>
      <c r="D95">
        <v>9669.33</v>
      </c>
      <c r="E95">
        <v>920.71319748619305</v>
      </c>
      <c r="F95">
        <v>36.460498960498903</v>
      </c>
      <c r="G95">
        <v>37.002428525683698</v>
      </c>
      <c r="H95" s="2">
        <f t="shared" si="3"/>
        <v>43040</v>
      </c>
      <c r="I95" t="str">
        <f t="shared" si="4"/>
        <v>FY2018</v>
      </c>
      <c r="J95" s="3">
        <f t="shared" si="5"/>
        <v>3.998476480670349</v>
      </c>
    </row>
    <row r="96" spans="1:10" x14ac:dyDescent="0.3">
      <c r="A96" s="1">
        <v>43009</v>
      </c>
      <c r="B96">
        <v>60</v>
      </c>
      <c r="C96">
        <v>76.959999999999994</v>
      </c>
      <c r="D96">
        <v>7057.78</v>
      </c>
      <c r="E96">
        <v>917.07120582120501</v>
      </c>
      <c r="F96">
        <v>148.41833440929599</v>
      </c>
      <c r="G96">
        <v>32.520311464359402</v>
      </c>
      <c r="H96" s="2">
        <f t="shared" si="3"/>
        <v>43009</v>
      </c>
      <c r="I96" t="str">
        <f t="shared" si="4"/>
        <v>FY2018</v>
      </c>
      <c r="J96" s="3">
        <f t="shared" si="5"/>
        <v>5.2676715176715181</v>
      </c>
    </row>
    <row r="97" spans="1:10" x14ac:dyDescent="0.3">
      <c r="A97" s="1">
        <v>42979</v>
      </c>
      <c r="B97">
        <v>57</v>
      </c>
      <c r="C97">
        <v>30.98</v>
      </c>
      <c r="D97">
        <v>5325.81</v>
      </c>
      <c r="E97">
        <v>1719.1123305358201</v>
      </c>
      <c r="F97">
        <v>84.404761904761898</v>
      </c>
      <c r="G97">
        <v>28.128383157469301</v>
      </c>
      <c r="H97" s="2">
        <f t="shared" si="3"/>
        <v>42979</v>
      </c>
      <c r="I97" t="str">
        <f t="shared" si="4"/>
        <v>FY2018</v>
      </c>
      <c r="J97" s="3">
        <f t="shared" si="5"/>
        <v>12.101032924467399</v>
      </c>
    </row>
    <row r="98" spans="1:10" x14ac:dyDescent="0.3">
      <c r="A98" s="1">
        <v>42948</v>
      </c>
      <c r="B98">
        <v>55</v>
      </c>
      <c r="C98">
        <v>16.8</v>
      </c>
      <c r="D98">
        <v>4156.62</v>
      </c>
      <c r="E98">
        <v>2474.1785714285702</v>
      </c>
      <c r="F98">
        <v>44.453998280309499</v>
      </c>
      <c r="G98">
        <v>21.846776202969501</v>
      </c>
      <c r="H98" s="2">
        <f t="shared" si="3"/>
        <v>42948</v>
      </c>
      <c r="I98" t="str">
        <f t="shared" si="4"/>
        <v>FY2018</v>
      </c>
      <c r="J98" s="3">
        <f t="shared" si="5"/>
        <v>17.572619047619046</v>
      </c>
    </row>
    <row r="99" spans="1:10" x14ac:dyDescent="0.3">
      <c r="A99" s="1">
        <v>42917</v>
      </c>
      <c r="B99">
        <v>53</v>
      </c>
      <c r="C99">
        <v>11.63</v>
      </c>
      <c r="D99">
        <v>3411.35</v>
      </c>
      <c r="E99">
        <v>2933.2330180567401</v>
      </c>
      <c r="F99">
        <v>12.367149758454101</v>
      </c>
      <c r="G99">
        <v>10.1017957887398</v>
      </c>
      <c r="H99" s="2">
        <f t="shared" si="3"/>
        <v>42917</v>
      </c>
      <c r="I99" t="str">
        <f t="shared" si="4"/>
        <v>FY2018</v>
      </c>
      <c r="J99" s="3">
        <f t="shared" si="5"/>
        <v>22.538263112639722</v>
      </c>
    </row>
    <row r="100" spans="1:10" x14ac:dyDescent="0.3">
      <c r="A100" s="1">
        <v>42887</v>
      </c>
      <c r="B100">
        <v>52</v>
      </c>
      <c r="C100">
        <v>10.35</v>
      </c>
      <c r="D100">
        <v>3098.36</v>
      </c>
      <c r="E100">
        <v>2993.5845410627999</v>
      </c>
      <c r="F100">
        <v>10.576923076923</v>
      </c>
      <c r="G100">
        <v>10.771628883081201</v>
      </c>
      <c r="H100" s="2">
        <f t="shared" si="3"/>
        <v>42887</v>
      </c>
      <c r="I100" t="str">
        <f t="shared" si="4"/>
        <v>FY2018</v>
      </c>
      <c r="J100" s="3">
        <f t="shared" si="5"/>
        <v>22.80386473429952</v>
      </c>
    </row>
    <row r="101" spans="1:10" x14ac:dyDescent="0.3">
      <c r="A101" s="1">
        <v>42856</v>
      </c>
      <c r="B101">
        <v>49</v>
      </c>
      <c r="C101">
        <v>9.36</v>
      </c>
      <c r="D101">
        <v>2797.07</v>
      </c>
      <c r="E101">
        <v>2988.3226495726399</v>
      </c>
      <c r="F101">
        <v>29.999999999999901</v>
      </c>
      <c r="G101">
        <v>23.151670453144501</v>
      </c>
      <c r="H101" s="2">
        <f t="shared" si="3"/>
        <v>42856</v>
      </c>
      <c r="I101" t="str">
        <f t="shared" si="4"/>
        <v>FY2018</v>
      </c>
      <c r="J101" s="3">
        <f t="shared" si="5"/>
        <v>19.243589743589745</v>
      </c>
    </row>
    <row r="102" spans="1:10" x14ac:dyDescent="0.3">
      <c r="A102" s="1">
        <v>42826</v>
      </c>
      <c r="B102">
        <v>48</v>
      </c>
      <c r="C102">
        <v>7.2</v>
      </c>
      <c r="D102">
        <v>2271.2399999999998</v>
      </c>
      <c r="E102">
        <v>3154.49999999999</v>
      </c>
      <c r="F102">
        <v>13.029827315541599</v>
      </c>
      <c r="G102">
        <v>-6.3460253841015302</v>
      </c>
      <c r="H102" s="2">
        <f t="shared" si="3"/>
        <v>42826</v>
      </c>
      <c r="I102" t="str">
        <f t="shared" si="4"/>
        <v>FY2018</v>
      </c>
      <c r="J102" s="3">
        <f t="shared" si="5"/>
        <v>25.400000000000002</v>
      </c>
    </row>
    <row r="103" spans="1:10" x14ac:dyDescent="0.3">
      <c r="A103" s="1">
        <v>42795</v>
      </c>
      <c r="B103">
        <v>44</v>
      </c>
      <c r="C103">
        <v>6.37</v>
      </c>
      <c r="D103">
        <v>2425.14</v>
      </c>
      <c r="E103">
        <v>3807.1271585557301</v>
      </c>
      <c r="F103">
        <v>45.433789954337897</v>
      </c>
      <c r="G103">
        <v>25.1549509472521</v>
      </c>
      <c r="H103" s="2">
        <f t="shared" si="3"/>
        <v>42795</v>
      </c>
      <c r="I103" t="str">
        <f t="shared" si="4"/>
        <v>FY2017</v>
      </c>
      <c r="J103" s="3">
        <f t="shared" si="5"/>
        <v>26.951334379905809</v>
      </c>
    </row>
    <row r="104" spans="1:10" x14ac:dyDescent="0.3">
      <c r="A104" s="1">
        <v>42767</v>
      </c>
      <c r="B104">
        <v>44</v>
      </c>
      <c r="C104">
        <v>4.38</v>
      </c>
      <c r="D104">
        <v>1937.71</v>
      </c>
      <c r="E104">
        <v>4423.9954337899499</v>
      </c>
      <c r="F104">
        <v>-1.79372197309417</v>
      </c>
      <c r="G104">
        <v>14.236950395585399</v>
      </c>
      <c r="H104" s="2">
        <f t="shared" si="3"/>
        <v>42767</v>
      </c>
      <c r="I104" t="str">
        <f t="shared" si="4"/>
        <v>FY2017</v>
      </c>
      <c r="J104" s="3">
        <f t="shared" si="5"/>
        <v>38.132420091324207</v>
      </c>
    </row>
    <row r="105" spans="1:10" x14ac:dyDescent="0.3">
      <c r="A105" s="1">
        <v>42736</v>
      </c>
      <c r="B105">
        <v>36</v>
      </c>
      <c r="C105">
        <v>4.46</v>
      </c>
      <c r="D105">
        <v>1696.22</v>
      </c>
      <c r="E105">
        <v>3803.1838565022399</v>
      </c>
      <c r="F105">
        <v>124.12060301507501</v>
      </c>
      <c r="G105">
        <v>139.60278558614499</v>
      </c>
      <c r="H105" s="2">
        <f t="shared" si="3"/>
        <v>42736</v>
      </c>
      <c r="I105" t="str">
        <f t="shared" si="4"/>
        <v>FY2017</v>
      </c>
      <c r="J105" s="3">
        <f t="shared" si="5"/>
        <v>33.042600896860989</v>
      </c>
    </row>
    <row r="106" spans="1:10" x14ac:dyDescent="0.3">
      <c r="A106" s="1">
        <v>42705</v>
      </c>
      <c r="B106">
        <v>35</v>
      </c>
      <c r="C106">
        <v>1.99</v>
      </c>
      <c r="D106">
        <v>707.93</v>
      </c>
      <c r="E106">
        <v>3557.4371859296398</v>
      </c>
      <c r="F106">
        <v>586.20689655172396</v>
      </c>
      <c r="G106">
        <v>604.68843320724602</v>
      </c>
      <c r="H106" s="2">
        <f t="shared" si="3"/>
        <v>42705</v>
      </c>
      <c r="I106" t="str">
        <f t="shared" si="4"/>
        <v>FY2017</v>
      </c>
      <c r="J106" s="3">
        <f t="shared" si="5"/>
        <v>72.185929648241199</v>
      </c>
    </row>
    <row r="107" spans="1:10" x14ac:dyDescent="0.3">
      <c r="A107" s="1">
        <v>42675</v>
      </c>
      <c r="B107">
        <v>30</v>
      </c>
      <c r="C107">
        <v>0.28999999999999998</v>
      </c>
      <c r="D107">
        <v>100.46</v>
      </c>
      <c r="E107">
        <v>3464.1379310344801</v>
      </c>
      <c r="F107">
        <v>189.99999999999901</v>
      </c>
      <c r="G107">
        <v>106.83549516162201</v>
      </c>
      <c r="H107" s="2">
        <f t="shared" si="3"/>
        <v>42675</v>
      </c>
      <c r="I107" t="str">
        <f t="shared" si="4"/>
        <v>FY2017</v>
      </c>
      <c r="J107" s="3">
        <f t="shared" si="5"/>
        <v>361.13793103448279</v>
      </c>
    </row>
    <row r="108" spans="1:10" x14ac:dyDescent="0.3">
      <c r="A108" s="1">
        <v>42644</v>
      </c>
      <c r="B108">
        <v>26</v>
      </c>
      <c r="C108">
        <v>0.1</v>
      </c>
      <c r="D108">
        <v>48.57</v>
      </c>
      <c r="E108">
        <v>4857</v>
      </c>
      <c r="F108">
        <v>11.1111111111111</v>
      </c>
      <c r="G108">
        <v>48.805147058823501</v>
      </c>
      <c r="H108" s="2">
        <f t="shared" si="3"/>
        <v>42644</v>
      </c>
      <c r="I108" t="str">
        <f t="shared" si="4"/>
        <v>FY2017</v>
      </c>
      <c r="J108" s="3">
        <f t="shared" si="5"/>
        <v>768.59999999999991</v>
      </c>
    </row>
    <row r="109" spans="1:10" x14ac:dyDescent="0.3">
      <c r="A109" s="1">
        <v>42614</v>
      </c>
      <c r="B109">
        <v>25</v>
      </c>
      <c r="C109">
        <v>0.09</v>
      </c>
      <c r="D109">
        <v>32.64</v>
      </c>
      <c r="E109">
        <v>3626.6666666666601</v>
      </c>
      <c r="F109">
        <v>0</v>
      </c>
      <c r="G109">
        <v>956.31067961165002</v>
      </c>
      <c r="H109" s="2">
        <f t="shared" si="3"/>
        <v>42614</v>
      </c>
      <c r="I109" t="str">
        <f t="shared" si="4"/>
        <v>FY2017</v>
      </c>
      <c r="J109" s="3">
        <f t="shared" si="5"/>
        <v>343.22222222222223</v>
      </c>
    </row>
    <row r="110" spans="1:10" x14ac:dyDescent="0.3">
      <c r="A110" s="1">
        <v>42583</v>
      </c>
      <c r="B110">
        <v>21</v>
      </c>
      <c r="C110">
        <v>0.09</v>
      </c>
      <c r="D110">
        <v>3.09</v>
      </c>
      <c r="E110">
        <v>343.33333333333297</v>
      </c>
      <c r="F110">
        <v>0</v>
      </c>
      <c r="G110">
        <v>713.15789473684197</v>
      </c>
      <c r="H110" s="2">
        <f t="shared" si="3"/>
        <v>42583</v>
      </c>
      <c r="I110" t="str">
        <f t="shared" si="4"/>
        <v>FY2017</v>
      </c>
      <c r="J110" s="3">
        <f t="shared" si="5"/>
        <v>185.66666666666669</v>
      </c>
    </row>
    <row r="111" spans="1:10" x14ac:dyDescent="0.3">
      <c r="A111" s="1">
        <v>42552</v>
      </c>
      <c r="B111">
        <v>21</v>
      </c>
      <c r="C111">
        <v>0.09</v>
      </c>
      <c r="D111">
        <v>0.38</v>
      </c>
      <c r="E111">
        <v>42.2222222222222</v>
      </c>
      <c r="F111">
        <v>0</v>
      </c>
      <c r="G111">
        <v>0</v>
      </c>
      <c r="H111" s="2">
        <f t="shared" si="3"/>
        <v>42552</v>
      </c>
      <c r="I111" t="str">
        <f t="shared" si="4"/>
        <v>FY2017</v>
      </c>
      <c r="J111" s="3">
        <f t="shared" si="5"/>
        <v>128.22222222222223</v>
      </c>
    </row>
    <row r="112" spans="1:10" x14ac:dyDescent="0.3">
      <c r="A112" s="1">
        <v>42522</v>
      </c>
      <c r="B112">
        <v>21</v>
      </c>
      <c r="C112">
        <v>0</v>
      </c>
      <c r="D112">
        <v>0</v>
      </c>
      <c r="E112">
        <v>0</v>
      </c>
      <c r="F112">
        <v>0</v>
      </c>
      <c r="G112">
        <v>0</v>
      </c>
      <c r="H112" s="2">
        <f t="shared" si="3"/>
        <v>42522</v>
      </c>
      <c r="I112" t="str">
        <f t="shared" si="4"/>
        <v>FY2017</v>
      </c>
      <c r="J112" s="3">
        <v>0</v>
      </c>
    </row>
    <row r="113" spans="1:10" x14ac:dyDescent="0.3">
      <c r="A113" s="1">
        <v>42491</v>
      </c>
      <c r="B113">
        <v>21</v>
      </c>
      <c r="C113">
        <v>0</v>
      </c>
      <c r="D113">
        <v>0</v>
      </c>
      <c r="E113">
        <v>0</v>
      </c>
      <c r="F113">
        <v>0</v>
      </c>
      <c r="G113">
        <v>0</v>
      </c>
      <c r="H113" s="2">
        <f t="shared" si="3"/>
        <v>42491</v>
      </c>
      <c r="I113" t="str">
        <f t="shared" si="4"/>
        <v>FY2017</v>
      </c>
      <c r="J113" s="3">
        <v>0</v>
      </c>
    </row>
    <row r="114" spans="1:10" x14ac:dyDescent="0.3">
      <c r="A114" s="1">
        <v>42461</v>
      </c>
      <c r="B114">
        <v>21</v>
      </c>
      <c r="C114">
        <v>0</v>
      </c>
      <c r="D114">
        <v>0</v>
      </c>
      <c r="E114">
        <v>0</v>
      </c>
      <c r="F114">
        <v>0</v>
      </c>
      <c r="G114">
        <v>0</v>
      </c>
      <c r="H114" s="2">
        <f t="shared" si="3"/>
        <v>42461</v>
      </c>
      <c r="I114" t="str">
        <f t="shared" si="4"/>
        <v>FY2017</v>
      </c>
      <c r="J1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02F8-68AA-4586-B154-71306F344C4B}">
  <dimension ref="A1:C5"/>
  <sheetViews>
    <sheetView workbookViewId="0">
      <selection activeCell="D8" sqref="D8"/>
    </sheetView>
  </sheetViews>
  <sheetFormatPr defaultRowHeight="14.4" x14ac:dyDescent="0.3"/>
  <cols>
    <col min="1" max="1" width="10.109375" bestFit="1" customWidth="1"/>
    <col min="2" max="2" width="15.33203125" bestFit="1" customWidth="1"/>
    <col min="3" max="3" width="13.664062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14</v>
      </c>
      <c r="B2">
        <v>48.4</v>
      </c>
      <c r="C2">
        <v>51.2</v>
      </c>
    </row>
    <row r="3" spans="1:3" x14ac:dyDescent="0.3">
      <c r="A3" t="s">
        <v>13</v>
      </c>
      <c r="B3">
        <v>36.9</v>
      </c>
      <c r="C3">
        <v>34.1</v>
      </c>
    </row>
    <row r="4" spans="1:3" x14ac:dyDescent="0.3">
      <c r="A4" t="s">
        <v>15</v>
      </c>
      <c r="B4">
        <v>7</v>
      </c>
      <c r="C4">
        <v>6.8</v>
      </c>
    </row>
    <row r="5" spans="1:3" x14ac:dyDescent="0.3">
      <c r="A5" t="s">
        <v>16</v>
      </c>
      <c r="B5">
        <v>7.7</v>
      </c>
      <c r="C5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9785-4AC9-4536-A601-D7294C3C8387}">
  <dimension ref="A1:C8"/>
  <sheetViews>
    <sheetView tabSelected="1" workbookViewId="0">
      <selection activeCell="N5" sqref="N5"/>
    </sheetView>
  </sheetViews>
  <sheetFormatPr defaultRowHeight="14.4" x14ac:dyDescent="0.3"/>
  <cols>
    <col min="1" max="1" width="12.21875" bestFit="1" customWidth="1"/>
    <col min="2" max="2" width="11.88671875" bestFit="1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>
        <v>9.8000000000000007</v>
      </c>
      <c r="C2">
        <v>1</v>
      </c>
    </row>
    <row r="3" spans="1:3" x14ac:dyDescent="0.3">
      <c r="A3" t="s">
        <v>21</v>
      </c>
      <c r="B3">
        <v>5.5</v>
      </c>
      <c r="C3">
        <v>1</v>
      </c>
    </row>
    <row r="4" spans="1:3" x14ac:dyDescent="0.3">
      <c r="A4" t="s">
        <v>22</v>
      </c>
      <c r="B4">
        <v>5.3</v>
      </c>
      <c r="C4">
        <v>2</v>
      </c>
    </row>
    <row r="5" spans="1:3" x14ac:dyDescent="0.3">
      <c r="A5" t="s">
        <v>23</v>
      </c>
      <c r="B5">
        <v>4.8</v>
      </c>
      <c r="C5">
        <v>1</v>
      </c>
    </row>
    <row r="6" spans="1:3" x14ac:dyDescent="0.3">
      <c r="A6" t="s">
        <v>24</v>
      </c>
      <c r="B6">
        <v>4.2</v>
      </c>
      <c r="C6">
        <v>1</v>
      </c>
    </row>
    <row r="7" spans="1:3" x14ac:dyDescent="0.3">
      <c r="A7" t="s">
        <v>25</v>
      </c>
      <c r="B7">
        <v>3.9</v>
      </c>
      <c r="C7">
        <v>2</v>
      </c>
    </row>
    <row r="8" spans="1:3" x14ac:dyDescent="0.3">
      <c r="A8" t="s">
        <v>26</v>
      </c>
      <c r="B8">
        <v>3.7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upi_data_enhanced</vt:lpstr>
      <vt:lpstr>App_Share</vt:lpstr>
      <vt:lpstr>State_Data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mridulaarora2006@gmail.com</cp:lastModifiedBy>
  <dcterms:created xsi:type="dcterms:W3CDTF">2026-06-26T07:01:35Z</dcterms:created>
  <dcterms:modified xsi:type="dcterms:W3CDTF">2026-06-26T08:50:32Z</dcterms:modified>
</cp:coreProperties>
</file>